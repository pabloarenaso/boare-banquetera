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scritorio\"/>
    </mc:Choice>
  </mc:AlternateContent>
  <xr:revisionPtr revIDLastSave="0" documentId="8_{A5ED138F-F936-421F-8AEB-DE887CF19DF0}" xr6:coauthVersionLast="47" xr6:coauthVersionMax="47" xr10:uidLastSave="{00000000-0000-0000-0000-000000000000}"/>
  <bookViews>
    <workbookView xWindow="-108" yWindow="-108" windowWidth="23256" windowHeight="12456" tabRatio="705" xr2:uid="{00000000-000D-0000-FFFF-FFFF00000000}"/>
  </bookViews>
  <sheets>
    <sheet name="Ventas" sheetId="5" r:id="rId1"/>
    <sheet name="Historial Ventas" sheetId="6" r:id="rId2"/>
    <sheet name="Activos" sheetId="7" r:id="rId3"/>
    <sheet name="Gastos Familia" sheetId="8" r:id="rId4"/>
  </sheets>
  <definedNames>
    <definedName name="_xlnm._FilterDatabase" localSheetId="1" hidden="1">'Historial Ventas'!$A$251:$G$282</definedName>
    <definedName name="Clientes">#REF!</definedName>
    <definedName name="Descripcion">#REF!</definedName>
    <definedName name="Producto">#REF!</definedName>
    <definedName name="Servicio">#REF!</definedName>
  </definedNames>
  <calcPr calcId="191029"/>
</workbook>
</file>

<file path=xl/calcChain.xml><?xml version="1.0" encoding="utf-8"?>
<calcChain xmlns="http://schemas.openxmlformats.org/spreadsheetml/2006/main">
  <c r="H32" i="5" l="1"/>
  <c r="H29" i="5"/>
  <c r="H26" i="5"/>
  <c r="H30" i="5"/>
  <c r="E29" i="5"/>
  <c r="H28" i="5" l="1"/>
  <c r="H27" i="5"/>
  <c r="G26" i="5"/>
  <c r="E16" i="5"/>
  <c r="E15" i="5"/>
  <c r="E14" i="5"/>
  <c r="E13" i="5"/>
  <c r="H24" i="5" l="1"/>
  <c r="H21" i="5"/>
  <c r="H19" i="5"/>
  <c r="H14" i="5"/>
  <c r="G12" i="5"/>
  <c r="H12" i="5"/>
  <c r="H11" i="5"/>
  <c r="G10" i="5"/>
  <c r="G9" i="5"/>
  <c r="H7" i="5"/>
  <c r="H5" i="5"/>
  <c r="E53" i="6"/>
  <c r="D54" i="6"/>
  <c r="F54" i="6" s="1"/>
  <c r="G54" i="6" s="1"/>
  <c r="E66" i="6"/>
  <c r="E5" i="5"/>
  <c r="E6" i="5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5" i="6"/>
  <c r="G56" i="6"/>
  <c r="G57" i="6"/>
  <c r="G58" i="6"/>
  <c r="G59" i="6"/>
  <c r="G60" i="6"/>
  <c r="G61" i="6"/>
  <c r="G62" i="6"/>
  <c r="G63" i="6"/>
  <c r="G64" i="6"/>
  <c r="G67" i="6"/>
  <c r="G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G53" i="6" s="1"/>
  <c r="F55" i="6"/>
  <c r="F56" i="6"/>
  <c r="F57" i="6"/>
  <c r="F58" i="6"/>
  <c r="F59" i="6"/>
  <c r="F60" i="6"/>
  <c r="F61" i="6"/>
  <c r="F62" i="6"/>
  <c r="F63" i="6"/>
  <c r="F64" i="6"/>
  <c r="F65" i="6"/>
  <c r="G65" i="6" s="1"/>
  <c r="F66" i="6"/>
  <c r="G66" i="6" s="1"/>
  <c r="F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37" i="6"/>
  <c r="E68" i="6"/>
  <c r="B68" i="6"/>
  <c r="B53" i="6"/>
  <c r="D68" i="6" l="1"/>
  <c r="G68" i="6"/>
  <c r="F68" i="6"/>
  <c r="C68" i="6"/>
  <c r="E99" i="6" l="1"/>
  <c r="F99" i="6" s="1"/>
  <c r="G99" i="6" s="1"/>
  <c r="G73" i="6"/>
  <c r="G74" i="6"/>
  <c r="G75" i="6"/>
  <c r="G80" i="6"/>
  <c r="G81" i="6"/>
  <c r="G82" i="6"/>
  <c r="G83" i="6"/>
  <c r="G87" i="6"/>
  <c r="G88" i="6"/>
  <c r="G89" i="6"/>
  <c r="G90" i="6"/>
  <c r="G91" i="6"/>
  <c r="G96" i="6"/>
  <c r="G97" i="6"/>
  <c r="G98" i="6"/>
  <c r="G101" i="6"/>
  <c r="B103" i="6"/>
  <c r="C103" i="6"/>
  <c r="D103" i="6"/>
  <c r="E103" i="6"/>
  <c r="F85" i="6"/>
  <c r="G85" i="6" s="1"/>
  <c r="F86" i="6"/>
  <c r="G86" i="6" s="1"/>
  <c r="F87" i="6"/>
  <c r="F88" i="6"/>
  <c r="F89" i="6"/>
  <c r="F90" i="6"/>
  <c r="F91" i="6"/>
  <c r="F92" i="6"/>
  <c r="G92" i="6" s="1"/>
  <c r="F93" i="6"/>
  <c r="G93" i="6" s="1"/>
  <c r="F94" i="6"/>
  <c r="G94" i="6" s="1"/>
  <c r="F95" i="6"/>
  <c r="G95" i="6" s="1"/>
  <c r="F96" i="6"/>
  <c r="F97" i="6"/>
  <c r="F98" i="6"/>
  <c r="F100" i="6"/>
  <c r="G100" i="6" s="1"/>
  <c r="F101" i="6"/>
  <c r="F102" i="6"/>
  <c r="G102" i="6" s="1"/>
  <c r="F73" i="6"/>
  <c r="F74" i="6"/>
  <c r="F75" i="6"/>
  <c r="F76" i="6"/>
  <c r="G76" i="6" s="1"/>
  <c r="F77" i="6"/>
  <c r="G77" i="6" s="1"/>
  <c r="F78" i="6"/>
  <c r="G78" i="6" s="1"/>
  <c r="F79" i="6"/>
  <c r="G79" i="6" s="1"/>
  <c r="F80" i="6"/>
  <c r="F81" i="6"/>
  <c r="F82" i="6"/>
  <c r="F83" i="6"/>
  <c r="F84" i="6"/>
  <c r="G84" i="6" s="1"/>
  <c r="F72" i="6"/>
  <c r="G72" i="6" s="1"/>
  <c r="G103" i="6" l="1"/>
  <c r="F103" i="6"/>
  <c r="I18" i="5"/>
  <c r="E159" i="6" l="1"/>
  <c r="E171" i="6"/>
  <c r="F171" i="6" s="1"/>
  <c r="D177" i="6"/>
  <c r="B177" i="6"/>
  <c r="F176" i="6"/>
  <c r="F175" i="6"/>
  <c r="F174" i="6"/>
  <c r="F173" i="6"/>
  <c r="F172" i="6"/>
  <c r="F170" i="6"/>
  <c r="F169" i="6"/>
  <c r="F168" i="6"/>
  <c r="F167" i="6"/>
  <c r="F166" i="6"/>
  <c r="F165" i="6"/>
  <c r="F164" i="6"/>
  <c r="F163" i="6"/>
  <c r="F162" i="6"/>
  <c r="F161" i="6"/>
  <c r="F160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G146" i="6" s="1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G163" i="6" s="1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47" i="6"/>
  <c r="G151" i="6" l="1"/>
  <c r="G167" i="6"/>
  <c r="G174" i="6"/>
  <c r="G170" i="6"/>
  <c r="G162" i="6"/>
  <c r="G169" i="6"/>
  <c r="G153" i="6"/>
  <c r="G175" i="6"/>
  <c r="G166" i="6"/>
  <c r="G154" i="6"/>
  <c r="G155" i="6"/>
  <c r="E177" i="6"/>
  <c r="C177" i="6"/>
  <c r="G176" i="6"/>
  <c r="G168" i="6"/>
  <c r="G160" i="6"/>
  <c r="G152" i="6"/>
  <c r="G158" i="6"/>
  <c r="G150" i="6"/>
  <c r="G172" i="6"/>
  <c r="G164" i="6"/>
  <c r="G156" i="6"/>
  <c r="G148" i="6"/>
  <c r="G147" i="6"/>
  <c r="G173" i="6"/>
  <c r="G165" i="6"/>
  <c r="G157" i="6"/>
  <c r="G149" i="6"/>
  <c r="G161" i="6"/>
  <c r="G171" i="6"/>
  <c r="F159" i="6"/>
  <c r="G159" i="6" s="1"/>
  <c r="F177" i="6" l="1"/>
  <c r="G177" i="6" s="1"/>
  <c r="B18" i="8"/>
  <c r="E212" i="6" l="1"/>
  <c r="M2712" i="6" l="1"/>
  <c r="M2713" i="6"/>
  <c r="M2714" i="6"/>
  <c r="M2715" i="6"/>
  <c r="M2716" i="6"/>
  <c r="M2717" i="6"/>
  <c r="M2718" i="6"/>
  <c r="M2719" i="6"/>
  <c r="M2720" i="6"/>
  <c r="M2721" i="6"/>
  <c r="M2722" i="6"/>
  <c r="M2723" i="6"/>
  <c r="L2724" i="6"/>
  <c r="K2724" i="6"/>
  <c r="C212" i="6"/>
  <c r="G211" i="6"/>
  <c r="F182" i="6"/>
  <c r="G182" i="6" s="1"/>
  <c r="F183" i="6"/>
  <c r="G183" i="6" s="1"/>
  <c r="F184" i="6"/>
  <c r="G184" i="6" s="1"/>
  <c r="F185" i="6"/>
  <c r="G185" i="6" s="1"/>
  <c r="F186" i="6"/>
  <c r="G186" i="6" s="1"/>
  <c r="F187" i="6"/>
  <c r="G187" i="6" s="1"/>
  <c r="F188" i="6"/>
  <c r="G188" i="6" s="1"/>
  <c r="F189" i="6"/>
  <c r="G189" i="6" s="1"/>
  <c r="F190" i="6"/>
  <c r="G190" i="6" s="1"/>
  <c r="F191" i="6"/>
  <c r="G191" i="6" s="1"/>
  <c r="F192" i="6"/>
  <c r="G192" i="6" s="1"/>
  <c r="F193" i="6"/>
  <c r="G193" i="6" s="1"/>
  <c r="F194" i="6"/>
  <c r="G194" i="6" s="1"/>
  <c r="F195" i="6"/>
  <c r="G195" i="6" s="1"/>
  <c r="F196" i="6"/>
  <c r="G196" i="6" s="1"/>
  <c r="F197" i="6"/>
  <c r="G197" i="6" s="1"/>
  <c r="F198" i="6"/>
  <c r="G198" i="6" s="1"/>
  <c r="F199" i="6"/>
  <c r="G199" i="6" s="1"/>
  <c r="F200" i="6"/>
  <c r="G200" i="6" s="1"/>
  <c r="F201" i="6"/>
  <c r="G201" i="6" s="1"/>
  <c r="F202" i="6"/>
  <c r="G202" i="6" s="1"/>
  <c r="F203" i="6"/>
  <c r="G203" i="6" s="1"/>
  <c r="F204" i="6"/>
  <c r="G204" i="6" s="1"/>
  <c r="F205" i="6"/>
  <c r="G205" i="6" s="1"/>
  <c r="F206" i="6"/>
  <c r="G206" i="6" s="1"/>
  <c r="F207" i="6"/>
  <c r="G207" i="6" s="1"/>
  <c r="F208" i="6"/>
  <c r="G208" i="6" s="1"/>
  <c r="F209" i="6"/>
  <c r="G209" i="6" s="1"/>
  <c r="F210" i="6"/>
  <c r="G210" i="6" s="1"/>
  <c r="F181" i="6"/>
  <c r="G181" i="6" s="1"/>
  <c r="D212" i="6"/>
  <c r="C33" i="5"/>
  <c r="D33" i="5"/>
  <c r="C34" i="5"/>
  <c r="D34" i="5"/>
  <c r="C35" i="5"/>
  <c r="D35" i="5"/>
  <c r="G212" i="6" l="1"/>
  <c r="F212" i="6"/>
  <c r="M2724" i="6"/>
  <c r="E269" i="6"/>
  <c r="E267" i="6"/>
  <c r="E266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29" i="6"/>
  <c r="F228" i="6"/>
  <c r="F227" i="6"/>
  <c r="F226" i="6"/>
  <c r="F225" i="6"/>
  <c r="F224" i="6"/>
  <c r="F223" i="6"/>
  <c r="F222" i="6"/>
  <c r="F221" i="6"/>
  <c r="F220" i="6"/>
  <c r="F217" i="6"/>
  <c r="C218" i="6"/>
  <c r="C219" i="6"/>
  <c r="C220" i="6"/>
  <c r="C221" i="6"/>
  <c r="C222" i="6"/>
  <c r="G222" i="6" s="1"/>
  <c r="C223" i="6"/>
  <c r="C224" i="6"/>
  <c r="C225" i="6"/>
  <c r="C226" i="6"/>
  <c r="C227" i="6"/>
  <c r="C228" i="6"/>
  <c r="C229" i="6"/>
  <c r="C230" i="6"/>
  <c r="G230" i="6" s="1"/>
  <c r="C231" i="6"/>
  <c r="G231" i="6" s="1"/>
  <c r="C232" i="6"/>
  <c r="G232" i="6" s="1"/>
  <c r="C233" i="6"/>
  <c r="G233" i="6" s="1"/>
  <c r="C234" i="6"/>
  <c r="G234" i="6" s="1"/>
  <c r="C235" i="6"/>
  <c r="G235" i="6" s="1"/>
  <c r="C236" i="6"/>
  <c r="G236" i="6" s="1"/>
  <c r="C237" i="6"/>
  <c r="G237" i="6" s="1"/>
  <c r="C238" i="6"/>
  <c r="G238" i="6" s="1"/>
  <c r="C239" i="6"/>
  <c r="G239" i="6" s="1"/>
  <c r="C240" i="6"/>
  <c r="G240" i="6" s="1"/>
  <c r="C241" i="6"/>
  <c r="G241" i="6" s="1"/>
  <c r="C242" i="6"/>
  <c r="G242" i="6" s="1"/>
  <c r="C243" i="6"/>
  <c r="G243" i="6" s="1"/>
  <c r="C244" i="6"/>
  <c r="G244" i="6" s="1"/>
  <c r="C245" i="6"/>
  <c r="C246" i="6"/>
  <c r="G246" i="6" s="1"/>
  <c r="C217" i="6"/>
  <c r="E247" i="6"/>
  <c r="D247" i="6"/>
  <c r="B247" i="6"/>
  <c r="G245" i="6" l="1"/>
  <c r="G221" i="6"/>
  <c r="G223" i="6"/>
  <c r="G229" i="6"/>
  <c r="G228" i="6"/>
  <c r="G220" i="6"/>
  <c r="G227" i="6"/>
  <c r="G226" i="6"/>
  <c r="G225" i="6"/>
  <c r="G224" i="6"/>
  <c r="F247" i="6"/>
  <c r="C247" i="6"/>
  <c r="G247" i="6" l="1"/>
  <c r="I29" i="5"/>
  <c r="F252" i="6" l="1"/>
  <c r="G252" i="6" s="1"/>
  <c r="F253" i="6"/>
  <c r="G253" i="6" s="1"/>
  <c r="F254" i="6"/>
  <c r="G254" i="6" s="1"/>
  <c r="F255" i="6"/>
  <c r="G255" i="6" s="1"/>
  <c r="F256" i="6"/>
  <c r="G256" i="6" s="1"/>
  <c r="F257" i="6"/>
  <c r="G257" i="6" s="1"/>
  <c r="F258" i="6"/>
  <c r="G258" i="6" s="1"/>
  <c r="F259" i="6"/>
  <c r="G259" i="6" s="1"/>
  <c r="F260" i="6"/>
  <c r="G260" i="6" s="1"/>
  <c r="F261" i="6"/>
  <c r="G261" i="6" s="1"/>
  <c r="F262" i="6"/>
  <c r="G262" i="6" s="1"/>
  <c r="F263" i="6"/>
  <c r="G263" i="6" s="1"/>
  <c r="F264" i="6"/>
  <c r="G264" i="6" s="1"/>
  <c r="F265" i="6"/>
  <c r="G265" i="6" s="1"/>
  <c r="F266" i="6"/>
  <c r="G266" i="6" s="1"/>
  <c r="F267" i="6"/>
  <c r="G267" i="6" s="1"/>
  <c r="F270" i="6"/>
  <c r="G270" i="6" s="1"/>
  <c r="F272" i="6"/>
  <c r="G272" i="6" s="1"/>
  <c r="F273" i="6"/>
  <c r="G273" i="6" s="1"/>
  <c r="F274" i="6"/>
  <c r="G274" i="6" s="1"/>
  <c r="F275" i="6"/>
  <c r="G275" i="6" s="1"/>
  <c r="F276" i="6"/>
  <c r="G276" i="6" s="1"/>
  <c r="F277" i="6"/>
  <c r="G277" i="6" s="1"/>
  <c r="F278" i="6"/>
  <c r="G278" i="6" s="1"/>
  <c r="F279" i="6"/>
  <c r="G279" i="6" s="1"/>
  <c r="F280" i="6"/>
  <c r="G280" i="6" s="1"/>
  <c r="F281" i="6"/>
  <c r="G281" i="6" s="1"/>
  <c r="F251" i="6"/>
  <c r="G251" i="6" s="1"/>
  <c r="E282" i="6"/>
  <c r="C282" i="6"/>
  <c r="B282" i="6"/>
  <c r="D317" i="6"/>
  <c r="E317" i="6"/>
  <c r="F317" i="6"/>
  <c r="C317" i="6"/>
  <c r="B31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287" i="6"/>
  <c r="G286" i="6"/>
  <c r="D271" i="6"/>
  <c r="F271" i="6" s="1"/>
  <c r="G271" i="6" s="1"/>
  <c r="D269" i="6"/>
  <c r="F269" i="6" s="1"/>
  <c r="G269" i="6" s="1"/>
  <c r="D268" i="6"/>
  <c r="F268" i="6" s="1"/>
  <c r="G268" i="6" s="1"/>
  <c r="G317" i="6" l="1"/>
  <c r="D282" i="6"/>
  <c r="F282" i="6"/>
  <c r="G282" i="6"/>
  <c r="F29" i="5"/>
  <c r="D343" i="6" l="1"/>
  <c r="E341" i="6"/>
  <c r="D342" i="6"/>
  <c r="E343" i="6" l="1"/>
  <c r="F343" i="6" s="1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4" i="6"/>
  <c r="F345" i="6"/>
  <c r="F346" i="6"/>
  <c r="F347" i="6"/>
  <c r="F348" i="6"/>
  <c r="F349" i="6"/>
  <c r="F350" i="6"/>
  <c r="F351" i="6"/>
  <c r="F321" i="6"/>
  <c r="D352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B352" i="6"/>
  <c r="F16" i="5"/>
  <c r="F19" i="5"/>
  <c r="F15" i="5"/>
  <c r="E352" i="6" l="1"/>
  <c r="G345" i="6"/>
  <c r="G336" i="6"/>
  <c r="G328" i="6"/>
  <c r="G326" i="6"/>
  <c r="G338" i="6"/>
  <c r="G330" i="6"/>
  <c r="G322" i="6"/>
  <c r="G339" i="6"/>
  <c r="G331" i="6"/>
  <c r="G323" i="6"/>
  <c r="G321" i="6"/>
  <c r="G344" i="6"/>
  <c r="G335" i="6"/>
  <c r="G327" i="6"/>
  <c r="G349" i="6"/>
  <c r="G351" i="6"/>
  <c r="G334" i="6"/>
  <c r="G329" i="6"/>
  <c r="G348" i="6"/>
  <c r="G340" i="6"/>
  <c r="G332" i="6"/>
  <c r="G324" i="6"/>
  <c r="G346" i="6"/>
  <c r="G337" i="6"/>
  <c r="G350" i="6"/>
  <c r="G333" i="6"/>
  <c r="G325" i="6"/>
  <c r="G347" i="6"/>
  <c r="G342" i="6"/>
  <c r="G341" i="6"/>
  <c r="F352" i="6"/>
  <c r="G343" i="6"/>
  <c r="C352" i="6"/>
  <c r="F20" i="5"/>
  <c r="F21" i="5"/>
  <c r="G352" i="6" l="1"/>
  <c r="I2700" i="6"/>
  <c r="I2701" i="6"/>
  <c r="I2702" i="6"/>
  <c r="I2703" i="6"/>
  <c r="I2704" i="6"/>
  <c r="I2705" i="6"/>
  <c r="I2698" i="6"/>
  <c r="F35" i="5"/>
  <c r="C489" i="6" l="1"/>
  <c r="C488" i="6"/>
  <c r="C487" i="6"/>
  <c r="C486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B485" i="6"/>
  <c r="C485" i="6" s="1"/>
  <c r="D492" i="6"/>
  <c r="E492" i="6"/>
  <c r="I2699" i="6" s="1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G490" i="6" s="1"/>
  <c r="F461" i="6"/>
  <c r="G475" i="6" l="1"/>
  <c r="B492" i="6"/>
  <c r="G465" i="6"/>
  <c r="G473" i="6"/>
  <c r="G467" i="6"/>
  <c r="G483" i="6"/>
  <c r="G472" i="6"/>
  <c r="G480" i="6"/>
  <c r="G489" i="6"/>
  <c r="G481" i="6"/>
  <c r="G485" i="6"/>
  <c r="G488" i="6"/>
  <c r="G466" i="6"/>
  <c r="G474" i="6"/>
  <c r="G482" i="6"/>
  <c r="F492" i="6"/>
  <c r="C492" i="6"/>
  <c r="G487" i="6"/>
  <c r="G479" i="6"/>
  <c r="G471" i="6"/>
  <c r="G463" i="6"/>
  <c r="G468" i="6"/>
  <c r="G476" i="6"/>
  <c r="G484" i="6"/>
  <c r="G486" i="6"/>
  <c r="G478" i="6"/>
  <c r="G470" i="6"/>
  <c r="G477" i="6"/>
  <c r="G464" i="6"/>
  <c r="G469" i="6"/>
  <c r="G461" i="6"/>
  <c r="G462" i="6"/>
  <c r="G492" i="6" l="1"/>
  <c r="H2716" i="6" l="1"/>
  <c r="H2717" i="6"/>
  <c r="F26" i="5" l="1"/>
  <c r="E2689" i="6" l="1"/>
  <c r="E2688" i="6"/>
  <c r="E2687" i="6"/>
  <c r="E2686" i="6"/>
  <c r="E2685" i="6"/>
  <c r="E2684" i="6"/>
  <c r="E2683" i="6"/>
  <c r="E2682" i="6"/>
  <c r="D532" i="6" l="1"/>
  <c r="D562" i="6" s="1"/>
  <c r="E533" i="6"/>
  <c r="F533" i="6" s="1"/>
  <c r="E550" i="6"/>
  <c r="F550" i="6" s="1"/>
  <c r="G561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1" i="6"/>
  <c r="F552" i="6"/>
  <c r="F553" i="6"/>
  <c r="F554" i="6"/>
  <c r="F555" i="6"/>
  <c r="F556" i="6"/>
  <c r="F557" i="6"/>
  <c r="F558" i="6"/>
  <c r="F559" i="6"/>
  <c r="F560" i="6"/>
  <c r="F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31" i="6"/>
  <c r="B562" i="6"/>
  <c r="G555" i="6" l="1"/>
  <c r="G552" i="6"/>
  <c r="F532" i="6"/>
  <c r="G532" i="6" s="1"/>
  <c r="G551" i="6"/>
  <c r="G558" i="6"/>
  <c r="G542" i="6"/>
  <c r="G534" i="6"/>
  <c r="G549" i="6"/>
  <c r="G541" i="6"/>
  <c r="G557" i="6"/>
  <c r="G548" i="6"/>
  <c r="G546" i="6"/>
  <c r="G538" i="6"/>
  <c r="G553" i="6"/>
  <c r="G559" i="6"/>
  <c r="G556" i="6"/>
  <c r="G540" i="6"/>
  <c r="G544" i="6"/>
  <c r="G536" i="6"/>
  <c r="G547" i="6"/>
  <c r="G539" i="6"/>
  <c r="G554" i="6"/>
  <c r="G545" i="6"/>
  <c r="G537" i="6"/>
  <c r="G560" i="6"/>
  <c r="G543" i="6"/>
  <c r="G535" i="6"/>
  <c r="G550" i="6"/>
  <c r="C562" i="6"/>
  <c r="G531" i="6"/>
  <c r="G533" i="6"/>
  <c r="E562" i="6"/>
  <c r="F562" i="6" l="1"/>
  <c r="G562" i="6"/>
  <c r="F9" i="5"/>
  <c r="F10" i="5"/>
  <c r="F567" i="6" l="1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G596" i="6" s="1"/>
  <c r="F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66" i="6"/>
  <c r="D597" i="6"/>
  <c r="E597" i="6"/>
  <c r="B597" i="6"/>
  <c r="G593" i="6" l="1"/>
  <c r="G566" i="6"/>
  <c r="G595" i="6"/>
  <c r="G594" i="6"/>
  <c r="G592" i="6"/>
  <c r="G590" i="6"/>
  <c r="G588" i="6"/>
  <c r="G586" i="6"/>
  <c r="G584" i="6"/>
  <c r="G582" i="6"/>
  <c r="G580" i="6"/>
  <c r="G578" i="6"/>
  <c r="G576" i="6"/>
  <c r="G574" i="6"/>
  <c r="G572" i="6"/>
  <c r="G570" i="6"/>
  <c r="G568" i="6"/>
  <c r="G591" i="6"/>
  <c r="G589" i="6"/>
  <c r="G587" i="6"/>
  <c r="G585" i="6"/>
  <c r="G583" i="6"/>
  <c r="G581" i="6"/>
  <c r="G579" i="6"/>
  <c r="G577" i="6"/>
  <c r="G575" i="6"/>
  <c r="G573" i="6"/>
  <c r="G571" i="6"/>
  <c r="G569" i="6"/>
  <c r="G567" i="6"/>
  <c r="F597" i="6"/>
  <c r="C597" i="6"/>
  <c r="D630" i="6"/>
  <c r="D633" i="6" s="1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1" i="6"/>
  <c r="G631" i="6" s="1"/>
  <c r="F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02" i="6"/>
  <c r="G632" i="6"/>
  <c r="E633" i="6"/>
  <c r="B633" i="6"/>
  <c r="L34" i="5"/>
  <c r="L35" i="5"/>
  <c r="G627" i="6" l="1"/>
  <c r="G619" i="6"/>
  <c r="G611" i="6"/>
  <c r="G603" i="6"/>
  <c r="G616" i="6"/>
  <c r="G608" i="6"/>
  <c r="G620" i="6"/>
  <c r="G629" i="6"/>
  <c r="G621" i="6"/>
  <c r="G613" i="6"/>
  <c r="G605" i="6"/>
  <c r="G602" i="6"/>
  <c r="G628" i="6"/>
  <c r="G612" i="6"/>
  <c r="G604" i="6"/>
  <c r="G624" i="6"/>
  <c r="G597" i="6"/>
  <c r="G609" i="6"/>
  <c r="F630" i="6"/>
  <c r="F633" i="6" s="1"/>
  <c r="G625" i="6"/>
  <c r="C633" i="6"/>
  <c r="G623" i="6"/>
  <c r="G615" i="6"/>
  <c r="G607" i="6"/>
  <c r="G617" i="6"/>
  <c r="G626" i="6"/>
  <c r="G622" i="6"/>
  <c r="G618" i="6"/>
  <c r="G614" i="6"/>
  <c r="G610" i="6"/>
  <c r="G606" i="6"/>
  <c r="H2713" i="6"/>
  <c r="G630" i="6" l="1"/>
  <c r="G633" i="6"/>
  <c r="I2724" i="6"/>
  <c r="H2724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 l="1"/>
  <c r="F2680" i="6"/>
  <c r="F2681" i="6"/>
  <c r="F2682" i="6"/>
  <c r="F2683" i="6"/>
  <c r="F2684" i="6"/>
  <c r="F2685" i="6"/>
  <c r="F2686" i="6"/>
  <c r="F2687" i="6"/>
  <c r="F2688" i="6"/>
  <c r="F2689" i="6"/>
  <c r="F2679" i="6"/>
  <c r="F2678" i="6"/>
  <c r="E2679" i="6"/>
  <c r="E2680" i="6"/>
  <c r="E2681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37" i="6"/>
  <c r="E668" i="6"/>
  <c r="D668" i="6"/>
  <c r="B668" i="6"/>
  <c r="G664" i="6" l="1"/>
  <c r="G656" i="6"/>
  <c r="G648" i="6"/>
  <c r="G640" i="6"/>
  <c r="G655" i="6"/>
  <c r="G666" i="6"/>
  <c r="G658" i="6"/>
  <c r="G650" i="6"/>
  <c r="G642" i="6"/>
  <c r="G667" i="6"/>
  <c r="G661" i="6"/>
  <c r="G653" i="6"/>
  <c r="G645" i="6"/>
  <c r="G659" i="6"/>
  <c r="G643" i="6"/>
  <c r="G665" i="6"/>
  <c r="G657" i="6"/>
  <c r="G641" i="6"/>
  <c r="G651" i="6"/>
  <c r="F668" i="6"/>
  <c r="G660" i="6"/>
  <c r="G652" i="6"/>
  <c r="G644" i="6"/>
  <c r="G663" i="6"/>
  <c r="G647" i="6"/>
  <c r="G639" i="6"/>
  <c r="G662" i="6"/>
  <c r="G654" i="6"/>
  <c r="G646" i="6"/>
  <c r="G638" i="6"/>
  <c r="G649" i="6"/>
  <c r="G637" i="6"/>
  <c r="C668" i="6"/>
  <c r="E2678" i="6" s="1"/>
  <c r="E2690" i="6" s="1"/>
  <c r="L2694" i="6"/>
  <c r="L2695" i="6"/>
  <c r="L2696" i="6"/>
  <c r="L2697" i="6"/>
  <c r="L2698" i="6"/>
  <c r="L2699" i="6"/>
  <c r="L2700" i="6"/>
  <c r="L2701" i="6"/>
  <c r="L2702" i="6"/>
  <c r="L2703" i="6"/>
  <c r="L2704" i="6"/>
  <c r="L2705" i="6"/>
  <c r="I2694" i="6"/>
  <c r="I2695" i="6"/>
  <c r="I2696" i="6"/>
  <c r="I2697" i="6"/>
  <c r="L2706" i="6" l="1"/>
  <c r="G668" i="6"/>
  <c r="I2706" i="6"/>
  <c r="E675" i="6"/>
  <c r="B702" i="6" l="1"/>
  <c r="B700" i="6"/>
  <c r="B699" i="6"/>
  <c r="B696" i="6"/>
  <c r="B694" i="6"/>
  <c r="B692" i="6"/>
  <c r="B687" i="6"/>
  <c r="B686" i="6"/>
  <c r="B685" i="6"/>
  <c r="B679" i="6"/>
  <c r="B678" i="6"/>
  <c r="B675" i="6"/>
  <c r="B673" i="6"/>
  <c r="F2724" i="6"/>
  <c r="E698" i="6"/>
  <c r="E695" i="6"/>
  <c r="F703" i="6" l="1"/>
  <c r="F702" i="6"/>
  <c r="E701" i="6"/>
  <c r="F701" i="6" s="1"/>
  <c r="E700" i="6"/>
  <c r="F700" i="6" s="1"/>
  <c r="E699" i="6"/>
  <c r="D699" i="6"/>
  <c r="D698" i="6"/>
  <c r="F697" i="6"/>
  <c r="E696" i="6"/>
  <c r="F696" i="6" s="1"/>
  <c r="D695" i="6"/>
  <c r="E694" i="6"/>
  <c r="F694" i="6" s="1"/>
  <c r="E693" i="6"/>
  <c r="D693" i="6"/>
  <c r="E692" i="6"/>
  <c r="D692" i="6"/>
  <c r="E691" i="6"/>
  <c r="F691" i="6" s="1"/>
  <c r="E690" i="6"/>
  <c r="F690" i="6" s="1"/>
  <c r="D689" i="6"/>
  <c r="F689" i="6" s="1"/>
  <c r="E688" i="6"/>
  <c r="F688" i="6" s="1"/>
  <c r="E687" i="6"/>
  <c r="D687" i="6"/>
  <c r="E686" i="6"/>
  <c r="F686" i="6" s="1"/>
  <c r="D685" i="6"/>
  <c r="F685" i="6" s="1"/>
  <c r="E684" i="6"/>
  <c r="F684" i="6" s="1"/>
  <c r="E683" i="6"/>
  <c r="F683" i="6" s="1"/>
  <c r="F682" i="6"/>
  <c r="F681" i="6"/>
  <c r="F680" i="6"/>
  <c r="F679" i="6"/>
  <c r="D678" i="6"/>
  <c r="F678" i="6" s="1"/>
  <c r="E677" i="6"/>
  <c r="F677" i="6" s="1"/>
  <c r="D676" i="6"/>
  <c r="F676" i="6" s="1"/>
  <c r="D675" i="6"/>
  <c r="F674" i="6"/>
  <c r="E673" i="6"/>
  <c r="D673" i="6"/>
  <c r="C703" i="6"/>
  <c r="C702" i="6"/>
  <c r="C701" i="6"/>
  <c r="C700" i="6"/>
  <c r="C698" i="6"/>
  <c r="C697" i="6"/>
  <c r="C696" i="6"/>
  <c r="C695" i="6"/>
  <c r="C694" i="6"/>
  <c r="C693" i="6"/>
  <c r="C691" i="6"/>
  <c r="C690" i="6"/>
  <c r="C689" i="6"/>
  <c r="C688" i="6"/>
  <c r="C684" i="6"/>
  <c r="C683" i="6"/>
  <c r="C682" i="6"/>
  <c r="C681" i="6"/>
  <c r="C680" i="6"/>
  <c r="C677" i="6"/>
  <c r="C676" i="6"/>
  <c r="C674" i="6"/>
  <c r="C699" i="6"/>
  <c r="C692" i="6"/>
  <c r="C687" i="6"/>
  <c r="C686" i="6"/>
  <c r="C685" i="6"/>
  <c r="C679" i="6"/>
  <c r="C678" i="6"/>
  <c r="C675" i="6"/>
  <c r="G679" i="6" l="1"/>
  <c r="G681" i="6"/>
  <c r="G703" i="6"/>
  <c r="G697" i="6"/>
  <c r="D704" i="6"/>
  <c r="G685" i="6"/>
  <c r="F692" i="6"/>
  <c r="G692" i="6" s="1"/>
  <c r="G677" i="6"/>
  <c r="G683" i="6"/>
  <c r="B704" i="6"/>
  <c r="E704" i="6"/>
  <c r="F675" i="6"/>
  <c r="G675" i="6" s="1"/>
  <c r="G676" i="6"/>
  <c r="G684" i="6"/>
  <c r="F699" i="6"/>
  <c r="G699" i="6" s="1"/>
  <c r="G678" i="6"/>
  <c r="G686" i="6"/>
  <c r="C673" i="6"/>
  <c r="C704" i="6" s="1"/>
  <c r="G680" i="6"/>
  <c r="G688" i="6"/>
  <c r="G690" i="6"/>
  <c r="G694" i="6"/>
  <c r="G696" i="6"/>
  <c r="G701" i="6"/>
  <c r="G674" i="6"/>
  <c r="G682" i="6"/>
  <c r="F687" i="6"/>
  <c r="G687" i="6" s="1"/>
  <c r="G689" i="6"/>
  <c r="G691" i="6"/>
  <c r="F693" i="6"/>
  <c r="G693" i="6" s="1"/>
  <c r="F695" i="6"/>
  <c r="G695" i="6" s="1"/>
  <c r="F698" i="6"/>
  <c r="G698" i="6" s="1"/>
  <c r="G700" i="6"/>
  <c r="G702" i="6"/>
  <c r="F673" i="6"/>
  <c r="F704" i="6" l="1"/>
  <c r="G704" i="6" s="1"/>
  <c r="G673" i="6"/>
  <c r="E727" i="6"/>
  <c r="F727" i="6" s="1"/>
  <c r="G727" i="6" s="1"/>
  <c r="F708" i="6"/>
  <c r="G708" i="6" s="1"/>
  <c r="F709" i="6"/>
  <c r="G709" i="6" s="1"/>
  <c r="F710" i="6"/>
  <c r="G710" i="6" s="1"/>
  <c r="F711" i="6"/>
  <c r="G711" i="6" s="1"/>
  <c r="F712" i="6"/>
  <c r="G712" i="6" s="1"/>
  <c r="F713" i="6"/>
  <c r="G713" i="6" s="1"/>
  <c r="F714" i="6"/>
  <c r="G714" i="6" s="1"/>
  <c r="F715" i="6"/>
  <c r="G715" i="6" s="1"/>
  <c r="F716" i="6"/>
  <c r="G716" i="6" s="1"/>
  <c r="F717" i="6"/>
  <c r="G717" i="6" s="1"/>
  <c r="F718" i="6"/>
  <c r="G718" i="6" s="1"/>
  <c r="F719" i="6"/>
  <c r="G719" i="6" s="1"/>
  <c r="F720" i="6"/>
  <c r="G720" i="6" s="1"/>
  <c r="F721" i="6"/>
  <c r="G721" i="6" s="1"/>
  <c r="F722" i="6"/>
  <c r="G722" i="6" s="1"/>
  <c r="F723" i="6"/>
  <c r="G723" i="6" s="1"/>
  <c r="F724" i="6"/>
  <c r="G724" i="6" s="1"/>
  <c r="F725" i="6"/>
  <c r="G725" i="6" s="1"/>
  <c r="F726" i="6"/>
  <c r="G726" i="6" s="1"/>
  <c r="F729" i="6"/>
  <c r="G729" i="6" s="1"/>
  <c r="F730" i="6"/>
  <c r="G730" i="6" s="1"/>
  <c r="F731" i="6"/>
  <c r="G731" i="6" s="1"/>
  <c r="F732" i="6"/>
  <c r="G732" i="6" s="1"/>
  <c r="F733" i="6"/>
  <c r="G733" i="6" s="1"/>
  <c r="F734" i="6"/>
  <c r="G734" i="6" s="1"/>
  <c r="F735" i="6"/>
  <c r="G735" i="6" s="1"/>
  <c r="F736" i="6"/>
  <c r="G736" i="6" s="1"/>
  <c r="F707" i="6"/>
  <c r="G707" i="6" s="1"/>
  <c r="D728" i="6" l="1"/>
  <c r="E737" i="6"/>
  <c r="D737" i="6" l="1"/>
  <c r="F728" i="6"/>
  <c r="I24" i="5"/>
  <c r="G728" i="6" l="1"/>
  <c r="G737" i="6" s="1"/>
  <c r="F737" i="6"/>
  <c r="H36" i="5"/>
  <c r="G36" i="5"/>
  <c r="E36" i="5"/>
  <c r="I6" i="5"/>
  <c r="I7" i="5"/>
  <c r="I8" i="5"/>
  <c r="I9" i="5"/>
  <c r="I10" i="5"/>
  <c r="I11" i="5"/>
  <c r="I12" i="5"/>
  <c r="I13" i="5"/>
  <c r="I14" i="5"/>
  <c r="I15" i="5"/>
  <c r="I16" i="5"/>
  <c r="I17" i="5"/>
  <c r="I19" i="5"/>
  <c r="I20" i="5"/>
  <c r="J20" i="5" s="1"/>
  <c r="I21" i="5"/>
  <c r="J21" i="5" s="1"/>
  <c r="I22" i="5"/>
  <c r="I23" i="5"/>
  <c r="I25" i="5"/>
  <c r="I26" i="5"/>
  <c r="I27" i="5"/>
  <c r="I28" i="5"/>
  <c r="I30" i="5"/>
  <c r="I31" i="5"/>
  <c r="I32" i="5"/>
  <c r="I33" i="5"/>
  <c r="I34" i="5"/>
  <c r="I35" i="5"/>
  <c r="I5" i="5"/>
  <c r="F6" i="5"/>
  <c r="F7" i="5"/>
  <c r="F8" i="5"/>
  <c r="F11" i="5"/>
  <c r="F12" i="5"/>
  <c r="F13" i="5"/>
  <c r="F14" i="5"/>
  <c r="F17" i="5"/>
  <c r="F18" i="5"/>
  <c r="F22" i="5"/>
  <c r="F23" i="5"/>
  <c r="F24" i="5"/>
  <c r="J24" i="5" s="1"/>
  <c r="F25" i="5"/>
  <c r="F27" i="5"/>
  <c r="F28" i="5"/>
  <c r="F30" i="5"/>
  <c r="F31" i="5"/>
  <c r="F32" i="5"/>
  <c r="F33" i="5"/>
  <c r="F34" i="5"/>
  <c r="F5" i="5"/>
  <c r="D769" i="6"/>
  <c r="D772" i="6" s="1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70" i="6"/>
  <c r="F771" i="6"/>
  <c r="F741" i="6"/>
  <c r="E772" i="6"/>
  <c r="B772" i="6"/>
  <c r="C772" i="6" s="1"/>
  <c r="F769" i="6" l="1"/>
  <c r="J17" i="5"/>
  <c r="J12" i="5"/>
  <c r="J10" i="5"/>
  <c r="J35" i="5"/>
  <c r="J33" i="5"/>
  <c r="J23" i="5"/>
  <c r="J31" i="5"/>
  <c r="J25" i="5"/>
  <c r="F772" i="6"/>
  <c r="G772" i="6" s="1"/>
  <c r="J5" i="5"/>
  <c r="J22" i="5"/>
  <c r="J18" i="5"/>
  <c r="J16" i="5"/>
  <c r="J14" i="5"/>
  <c r="J6" i="5"/>
  <c r="J34" i="5"/>
  <c r="J32" i="5"/>
  <c r="J26" i="5"/>
  <c r="J19" i="5"/>
  <c r="J15" i="5"/>
  <c r="J13" i="5"/>
  <c r="J11" i="5"/>
  <c r="J9" i="5"/>
  <c r="J7" i="5"/>
  <c r="J30" i="5"/>
  <c r="J28" i="5"/>
  <c r="J29" i="5"/>
  <c r="J27" i="5"/>
  <c r="I36" i="5"/>
  <c r="F36" i="5"/>
  <c r="D2689" i="6" s="1"/>
  <c r="J8" i="5"/>
  <c r="D2688" i="6"/>
  <c r="D2687" i="6"/>
  <c r="F2703" i="6"/>
  <c r="F2704" i="6"/>
  <c r="F2705" i="6"/>
  <c r="C9" i="5"/>
  <c r="L9" i="5" s="1"/>
  <c r="C10" i="5"/>
  <c r="L10" i="5" s="1"/>
  <c r="C11" i="5"/>
  <c r="L11" i="5" s="1"/>
  <c r="F2706" i="6" l="1"/>
  <c r="J36" i="5"/>
  <c r="E2719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13" i="6"/>
  <c r="E844" i="6"/>
  <c r="F844" i="6"/>
  <c r="D844" i="6"/>
  <c r="G844" i="6" l="1"/>
  <c r="D2685" i="6" l="1"/>
  <c r="E2701" i="6" s="1"/>
  <c r="F878" i="6" l="1"/>
  <c r="E878" i="6"/>
  <c r="D878" i="6"/>
  <c r="E2718" i="6" l="1"/>
  <c r="G911" i="6" l="1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E912" i="6"/>
  <c r="D912" i="6"/>
  <c r="C912" i="6"/>
  <c r="F910" i="6"/>
  <c r="F912" i="6" s="1"/>
  <c r="G910" i="6" l="1"/>
  <c r="G912" i="6" s="1"/>
  <c r="E2717" i="6"/>
  <c r="E946" i="6" l="1"/>
  <c r="D946" i="6"/>
  <c r="C946" i="6"/>
  <c r="F945" i="6"/>
  <c r="G945" i="6" s="1"/>
  <c r="G946" i="6" s="1"/>
  <c r="F946" i="6" l="1"/>
  <c r="E2716" i="6"/>
  <c r="F968" i="6" l="1"/>
  <c r="G968" i="6" s="1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9" i="6"/>
  <c r="G970" i="6"/>
  <c r="G971" i="6"/>
  <c r="G972" i="6"/>
  <c r="G974" i="6"/>
  <c r="G975" i="6"/>
  <c r="G976" i="6"/>
  <c r="G977" i="6"/>
  <c r="G978" i="6"/>
  <c r="G979" i="6"/>
  <c r="G952" i="6"/>
  <c r="F973" i="6"/>
  <c r="G973" i="6" s="1"/>
  <c r="F980" i="6" l="1"/>
  <c r="G980" i="6" s="1"/>
  <c r="E2715" i="6"/>
  <c r="G1014" i="6" l="1"/>
  <c r="G1013" i="6"/>
  <c r="F1014" i="6"/>
  <c r="E2714" i="6"/>
  <c r="E2724" i="6" s="1"/>
  <c r="G2712" i="6" l="1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C2679" i="6" l="1"/>
  <c r="C2724" i="6" l="1"/>
  <c r="B2722" i="6"/>
  <c r="D2722" i="6" s="1"/>
  <c r="B2721" i="6"/>
  <c r="D2721" i="6" s="1"/>
  <c r="B2719" i="6"/>
  <c r="D2719" i="6" s="1"/>
  <c r="B2723" i="6"/>
  <c r="D2723" i="6" s="1"/>
  <c r="D2712" i="6"/>
  <c r="D2714" i="6"/>
  <c r="D2716" i="6"/>
  <c r="D2718" i="6"/>
  <c r="D2720" i="6"/>
  <c r="D2713" i="6"/>
  <c r="D2715" i="6"/>
  <c r="D2717" i="6"/>
  <c r="B2724" i="6" l="1"/>
  <c r="D2724" i="6" s="1"/>
  <c r="F1148" i="6"/>
  <c r="G1148" i="6" s="1"/>
  <c r="F1132" i="6"/>
  <c r="G1132" i="6" s="1"/>
  <c r="E2705" i="6" l="1"/>
  <c r="E2704" i="6"/>
  <c r="E2703" i="6"/>
  <c r="D2686" i="6"/>
  <c r="E2702" i="6" s="1"/>
  <c r="D2683" i="6"/>
  <c r="E2699" i="6" s="1"/>
  <c r="D2682" i="6"/>
  <c r="E2698" i="6" s="1"/>
  <c r="D2681" i="6"/>
  <c r="E2697" i="6" s="1"/>
  <c r="D2680" i="6"/>
  <c r="E2696" i="6" s="1"/>
  <c r="D2679" i="6"/>
  <c r="E2695" i="6" s="1"/>
  <c r="D2678" i="6"/>
  <c r="E2694" i="6" s="1"/>
  <c r="C2680" i="6"/>
  <c r="B2696" i="6" s="1"/>
  <c r="C2681" i="6"/>
  <c r="B2697" i="6" s="1"/>
  <c r="C2682" i="6"/>
  <c r="B2698" i="6" s="1"/>
  <c r="C2683" i="6"/>
  <c r="B2699" i="6" s="1"/>
  <c r="C2684" i="6"/>
  <c r="B2700" i="6" s="1"/>
  <c r="C2687" i="6"/>
  <c r="B2703" i="6" s="1"/>
  <c r="C2688" i="6"/>
  <c r="B2704" i="6" s="1"/>
  <c r="C2689" i="6"/>
  <c r="B2705" i="6" s="1"/>
  <c r="C2678" i="6"/>
  <c r="B2694" i="6" s="1"/>
  <c r="B2695" i="6"/>
  <c r="G2705" i="6" l="1"/>
  <c r="G2703" i="6"/>
  <c r="G2701" i="6"/>
  <c r="G2699" i="6"/>
  <c r="G2696" i="6"/>
  <c r="G2694" i="6"/>
  <c r="D2694" i="6"/>
  <c r="G2704" i="6"/>
  <c r="G2702" i="6"/>
  <c r="G2698" i="6"/>
  <c r="G2695" i="6"/>
  <c r="D2704" i="6"/>
  <c r="D2699" i="6"/>
  <c r="D2697" i="6"/>
  <c r="D2700" i="6"/>
  <c r="D2698" i="6"/>
  <c r="D2705" i="6"/>
  <c r="D2701" i="6"/>
  <c r="D2695" i="6"/>
  <c r="F1207" i="6"/>
  <c r="F1178" i="6" l="1"/>
  <c r="F1162" i="6"/>
  <c r="F1175" i="6"/>
  <c r="G1152" i="6" l="1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51" i="6"/>
  <c r="F1182" i="6"/>
  <c r="D2703" i="6" s="1"/>
  <c r="G1182" i="6" l="1"/>
  <c r="F1211" i="6"/>
  <c r="G1216" i="6" l="1"/>
  <c r="F1216" i="6"/>
  <c r="E1216" i="6"/>
  <c r="C2686" i="6" s="1"/>
  <c r="B2702" i="6" s="1"/>
  <c r="D1216" i="6"/>
  <c r="D2702" i="6" l="1"/>
  <c r="F1250" i="6"/>
  <c r="F1251" i="6" l="1"/>
  <c r="C1251" i="6"/>
  <c r="D1251" i="6"/>
  <c r="E1250" i="6"/>
  <c r="E1249" i="6"/>
  <c r="G1249" i="6" s="1"/>
  <c r="E1248" i="6"/>
  <c r="G1248" i="6" s="1"/>
  <c r="E1247" i="6"/>
  <c r="G1247" i="6" s="1"/>
  <c r="E1246" i="6"/>
  <c r="G1246" i="6" s="1"/>
  <c r="E1245" i="6"/>
  <c r="G1245" i="6" s="1"/>
  <c r="E1244" i="6"/>
  <c r="G1244" i="6" s="1"/>
  <c r="E1243" i="6"/>
  <c r="G1243" i="6" s="1"/>
  <c r="E1242" i="6"/>
  <c r="G1242" i="6" s="1"/>
  <c r="E1241" i="6"/>
  <c r="G1241" i="6" s="1"/>
  <c r="E1240" i="6"/>
  <c r="G1240" i="6" s="1"/>
  <c r="E1239" i="6"/>
  <c r="G1239" i="6" s="1"/>
  <c r="E1238" i="6"/>
  <c r="G1238" i="6" s="1"/>
  <c r="E1237" i="6"/>
  <c r="G1237" i="6" s="1"/>
  <c r="E1236" i="6"/>
  <c r="G1236" i="6" s="1"/>
  <c r="E1235" i="6"/>
  <c r="G1235" i="6" s="1"/>
  <c r="E1234" i="6"/>
  <c r="G1234" i="6" s="1"/>
  <c r="E1233" i="6"/>
  <c r="G1233" i="6" s="1"/>
  <c r="E1232" i="6"/>
  <c r="G1232" i="6" s="1"/>
  <c r="E1231" i="6"/>
  <c r="G1231" i="6" s="1"/>
  <c r="E1230" i="6"/>
  <c r="G1230" i="6" s="1"/>
  <c r="E1229" i="6"/>
  <c r="G1229" i="6" s="1"/>
  <c r="E1228" i="6"/>
  <c r="G1228" i="6" s="1"/>
  <c r="E1227" i="6"/>
  <c r="G1227" i="6" s="1"/>
  <c r="E1226" i="6"/>
  <c r="G1226" i="6" s="1"/>
  <c r="E1225" i="6"/>
  <c r="G1225" i="6" s="1"/>
  <c r="E1224" i="6"/>
  <c r="G1224" i="6" s="1"/>
  <c r="E1223" i="6"/>
  <c r="G1223" i="6" s="1"/>
  <c r="E1222" i="6"/>
  <c r="G1222" i="6" s="1"/>
  <c r="E1221" i="6"/>
  <c r="G1221" i="6" s="1"/>
  <c r="E1220" i="6"/>
  <c r="G1220" i="6" s="1"/>
  <c r="E1251" i="6" l="1"/>
  <c r="C2685" i="6" s="1"/>
  <c r="G1250" i="6"/>
  <c r="G1251" i="6" s="1"/>
  <c r="B2701" i="6" l="1"/>
  <c r="B2706" i="6" s="1"/>
  <c r="C2690" i="6"/>
  <c r="F1352" i="6"/>
  <c r="F1347" i="6"/>
  <c r="K2695" i="6" l="1"/>
  <c r="M2695" i="6" s="1"/>
  <c r="K2696" i="6"/>
  <c r="M2696" i="6" s="1"/>
  <c r="K2697" i="6"/>
  <c r="M2697" i="6" s="1"/>
  <c r="K2698" i="6"/>
  <c r="M2698" i="6" s="1"/>
  <c r="K2699" i="6"/>
  <c r="M2699" i="6" s="1"/>
  <c r="K2700" i="6"/>
  <c r="M2700" i="6" s="1"/>
  <c r="K2701" i="6"/>
  <c r="M2701" i="6" s="1"/>
  <c r="K2702" i="6"/>
  <c r="M2702" i="6" s="1"/>
  <c r="K2703" i="6"/>
  <c r="M2703" i="6" s="1"/>
  <c r="K2704" i="6"/>
  <c r="M2704" i="6" s="1"/>
  <c r="K2705" i="6"/>
  <c r="M2705" i="6" s="1"/>
  <c r="K2694" i="6"/>
  <c r="H2695" i="6"/>
  <c r="J2695" i="6" s="1"/>
  <c r="H2696" i="6"/>
  <c r="J2696" i="6" s="1"/>
  <c r="H2697" i="6"/>
  <c r="J2697" i="6" s="1"/>
  <c r="H2698" i="6"/>
  <c r="J2698" i="6" s="1"/>
  <c r="H2699" i="6"/>
  <c r="J2699" i="6" s="1"/>
  <c r="H2700" i="6"/>
  <c r="J2700" i="6" s="1"/>
  <c r="H2701" i="6"/>
  <c r="J2701" i="6" s="1"/>
  <c r="H2702" i="6"/>
  <c r="J2702" i="6" s="1"/>
  <c r="H2703" i="6"/>
  <c r="J2703" i="6" s="1"/>
  <c r="H2704" i="6"/>
  <c r="J2704" i="6" s="1"/>
  <c r="H2705" i="6"/>
  <c r="J2705" i="6" s="1"/>
  <c r="H2694" i="6"/>
  <c r="M2694" i="6" l="1"/>
  <c r="M2706" i="6" s="1"/>
  <c r="K2706" i="6"/>
  <c r="J2694" i="6"/>
  <c r="J2706" i="6" s="1"/>
  <c r="H2706" i="6"/>
  <c r="F1408" i="6"/>
  <c r="G1408" i="6" s="1"/>
  <c r="F1422" i="6" l="1"/>
  <c r="B2687" i="6"/>
  <c r="G1422" i="6" l="1"/>
  <c r="F2690" i="6"/>
  <c r="D2696" i="6" l="1"/>
  <c r="D2706" i="6" s="1"/>
  <c r="C2706" i="6"/>
  <c r="E1526" i="6" l="1"/>
  <c r="B2689" i="6" s="1"/>
  <c r="G2679" i="6" l="1"/>
  <c r="K2679" i="6" s="1"/>
  <c r="G2680" i="6"/>
  <c r="K2680" i="6" s="1"/>
  <c r="G2681" i="6"/>
  <c r="K2681" i="6" s="1"/>
  <c r="G2682" i="6"/>
  <c r="K2682" i="6" s="1"/>
  <c r="G2683" i="6"/>
  <c r="K2683" i="6" s="1"/>
  <c r="G2678" i="6"/>
  <c r="K2678" i="6" s="1"/>
  <c r="H2686" i="6" l="1"/>
  <c r="L2686" i="6" s="1"/>
  <c r="H2687" i="6"/>
  <c r="L2687" i="6" s="1"/>
  <c r="I2686" i="6"/>
  <c r="M2686" i="6" s="1"/>
  <c r="I2682" i="6"/>
  <c r="M2682" i="6" s="1"/>
  <c r="J2679" i="6"/>
  <c r="N2679" i="6" s="1"/>
  <c r="J2689" i="6"/>
  <c r="N2689" i="6" s="1"/>
  <c r="H2683" i="6"/>
  <c r="L2683" i="6" s="1"/>
  <c r="H2681" i="6"/>
  <c r="L2681" i="6" s="1"/>
  <c r="H2678" i="6"/>
  <c r="L2678" i="6" s="1"/>
  <c r="H2679" i="6"/>
  <c r="L2679" i="6" s="1"/>
  <c r="I2680" i="6"/>
  <c r="M2680" i="6" s="1"/>
  <c r="J2678" i="6"/>
  <c r="N2678" i="6" s="1"/>
  <c r="H2682" i="6"/>
  <c r="L2682" i="6" s="1"/>
  <c r="J2687" i="6"/>
  <c r="N2687" i="6" s="1"/>
  <c r="J2685" i="6"/>
  <c r="N2685" i="6" s="1"/>
  <c r="J2683" i="6"/>
  <c r="N2683" i="6" s="1"/>
  <c r="J2681" i="6"/>
  <c r="N2681" i="6" s="1"/>
  <c r="J2686" i="6"/>
  <c r="N2686" i="6" s="1"/>
  <c r="J2684" i="6"/>
  <c r="N2684" i="6" s="1"/>
  <c r="J2682" i="6"/>
  <c r="N2682" i="6" s="1"/>
  <c r="J2680" i="6"/>
  <c r="N2680" i="6" s="1"/>
  <c r="I2689" i="6"/>
  <c r="M2689" i="6" s="1"/>
  <c r="J2688" i="6"/>
  <c r="N2688" i="6" s="1"/>
  <c r="H2680" i="6"/>
  <c r="L2680" i="6" s="1"/>
  <c r="I2678" i="6"/>
  <c r="M2678" i="6" s="1"/>
  <c r="I2687" i="6"/>
  <c r="M2687" i="6" s="1"/>
  <c r="I2683" i="6"/>
  <c r="M2683" i="6" s="1"/>
  <c r="I2681" i="6"/>
  <c r="M2681" i="6" s="1"/>
  <c r="I2679" i="6"/>
  <c r="M2679" i="6" s="1"/>
  <c r="H2689" i="6"/>
  <c r="L2689" i="6" s="1"/>
  <c r="G2684" i="6"/>
  <c r="K2684" i="6" s="1"/>
  <c r="I2688" i="6"/>
  <c r="M2688" i="6" s="1"/>
  <c r="H2688" i="6"/>
  <c r="L2688" i="6" s="1"/>
  <c r="G2688" i="6"/>
  <c r="K2688" i="6" s="1"/>
  <c r="G2686" i="6"/>
  <c r="K2686" i="6" s="1"/>
  <c r="G2687" i="6"/>
  <c r="K2687" i="6" s="1"/>
  <c r="G2689" i="6"/>
  <c r="K2689" i="6" s="1"/>
  <c r="G1631" i="6"/>
  <c r="E1631" i="6"/>
  <c r="B2685" i="6" s="1"/>
  <c r="G2685" i="6" l="1"/>
  <c r="N2690" i="6"/>
  <c r="J2690" i="6"/>
  <c r="K2685" i="6" l="1"/>
  <c r="K2690" i="6" s="1"/>
  <c r="G2690" i="6"/>
  <c r="B2690" i="6"/>
  <c r="L33" i="5" l="1"/>
  <c r="D32" i="5"/>
  <c r="C32" i="5"/>
  <c r="L32" i="5" s="1"/>
  <c r="D31" i="5"/>
  <c r="C31" i="5"/>
  <c r="L31" i="5" s="1"/>
  <c r="D30" i="5"/>
  <c r="C30" i="5"/>
  <c r="L30" i="5" s="1"/>
  <c r="D29" i="5"/>
  <c r="C29" i="5"/>
  <c r="L29" i="5" s="1"/>
  <c r="D28" i="5"/>
  <c r="C28" i="5"/>
  <c r="L28" i="5" s="1"/>
  <c r="D27" i="5"/>
  <c r="C27" i="5"/>
  <c r="L27" i="5" s="1"/>
  <c r="D26" i="5"/>
  <c r="C26" i="5"/>
  <c r="L26" i="5" s="1"/>
  <c r="D25" i="5"/>
  <c r="C25" i="5"/>
  <c r="L25" i="5" s="1"/>
  <c r="D24" i="5"/>
  <c r="C24" i="5"/>
  <c r="L24" i="5" s="1"/>
  <c r="D23" i="5"/>
  <c r="C23" i="5"/>
  <c r="L23" i="5" s="1"/>
  <c r="D22" i="5"/>
  <c r="C22" i="5"/>
  <c r="L22" i="5" s="1"/>
  <c r="D21" i="5"/>
  <c r="C21" i="5"/>
  <c r="L21" i="5" s="1"/>
  <c r="D20" i="5"/>
  <c r="C20" i="5"/>
  <c r="L20" i="5" s="1"/>
  <c r="D19" i="5"/>
  <c r="C19" i="5"/>
  <c r="L19" i="5" s="1"/>
  <c r="D18" i="5"/>
  <c r="C18" i="5"/>
  <c r="L18" i="5" s="1"/>
  <c r="D17" i="5"/>
  <c r="C17" i="5"/>
  <c r="L17" i="5" s="1"/>
  <c r="D16" i="5"/>
  <c r="C16" i="5"/>
  <c r="L16" i="5" s="1"/>
  <c r="D15" i="5"/>
  <c r="C15" i="5"/>
  <c r="L15" i="5" s="1"/>
  <c r="D14" i="5"/>
  <c r="C14" i="5"/>
  <c r="L14" i="5" s="1"/>
  <c r="D13" i="5"/>
  <c r="C13" i="5"/>
  <c r="L13" i="5" s="1"/>
  <c r="D12" i="5"/>
  <c r="C12" i="5"/>
  <c r="L12" i="5" s="1"/>
  <c r="D11" i="5"/>
  <c r="D10" i="5"/>
  <c r="D9" i="5"/>
  <c r="D8" i="5"/>
  <c r="C8" i="5"/>
  <c r="L8" i="5" s="1"/>
  <c r="D7" i="5"/>
  <c r="C7" i="5"/>
  <c r="L7" i="5" s="1"/>
  <c r="D6" i="5"/>
  <c r="C6" i="5"/>
  <c r="L6" i="5" s="1"/>
  <c r="D5" i="5"/>
  <c r="C5" i="5"/>
  <c r="L5" i="5" s="1"/>
  <c r="I2685" i="6" l="1"/>
  <c r="H2685" i="6"/>
  <c r="L2685" i="6" s="1"/>
  <c r="M2685" i="6" l="1"/>
  <c r="G2697" i="6"/>
  <c r="G878" i="6"/>
  <c r="D2684" i="6"/>
  <c r="H2684" i="6" s="1"/>
  <c r="L2684" i="6" l="1"/>
  <c r="L2690" i="6" s="1"/>
  <c r="H2690" i="6"/>
  <c r="E2700" i="6"/>
  <c r="D2690" i="6"/>
  <c r="I2684" i="6"/>
  <c r="G2700" i="6" l="1"/>
  <c r="G2706" i="6" s="1"/>
  <c r="E2706" i="6"/>
  <c r="M2684" i="6"/>
  <c r="M2690" i="6" s="1"/>
  <c r="I269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BoAré</author>
  </authors>
  <commentList>
    <comment ref="G5" authorId="0" shapeId="0" xr:uid="{1AC7919F-1184-4FAE-A0F5-90DB722EB152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Bencina</t>
        </r>
      </text>
    </comment>
    <comment ref="H5" authorId="0" shapeId="0" xr:uid="{A6048DDA-7631-4A36-9E25-70A95CFFF78A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tito pal
- carne</t>
        </r>
      </text>
    </comment>
    <comment ref="G7" authorId="0" shapeId="0" xr:uid="{1980AA1A-064F-4F11-A5DB-CCE59B7BFAC4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Basurero</t>
        </r>
      </text>
    </comment>
    <comment ref="H7" authorId="0" shapeId="0" xr:uid="{F6EE9DC3-D8E5-41E4-83F3-6E77E1016FAD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Super Ganga
- Queso crema</t>
        </r>
      </text>
    </comment>
    <comment ref="G8" authorId="0" shapeId="0" xr:uid="{DD67B874-217A-4D18-A978-B2D76BF7063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Llave electrica
</t>
        </r>
      </text>
    </comment>
    <comment ref="G9" authorId="0" shapeId="0" xr:uid="{2F05935B-D370-4256-8ED8-6C35A1B6FA3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
- Pegamento láminas cocina</t>
        </r>
      </text>
    </comment>
    <comment ref="G10" authorId="0" shapeId="0" xr:uid="{EEE5ACA3-E2FF-4AE5-BD77-EE9F425E3CFD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Sodimac
- Easy</t>
        </r>
      </text>
    </comment>
    <comment ref="G11" authorId="0" shapeId="0" xr:uid="{2BEB1DD2-6041-4A98-8584-9FA848533858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RR. SS
</t>
        </r>
      </text>
    </comment>
    <comment ref="H11" authorId="0" shapeId="0" xr:uid="{3FF4E225-A2AB-4501-80E5-AEF8CBA872E6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Tito Pal
- Tottus</t>
        </r>
      </text>
    </comment>
    <comment ref="G12" authorId="0" shapeId="0" xr:uid="{73EC934B-A5E5-4542-A779-479DABBFB61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telefono
- Bencina</t>
        </r>
      </text>
    </comment>
    <comment ref="H12" authorId="0" shapeId="0" xr:uid="{6DEC3DC7-2A5C-4242-9C9B-EB0ADF67EC12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Tottus
- Alvi.
- Harina</t>
        </r>
      </text>
    </comment>
    <comment ref="H13" authorId="0" shapeId="0" xr:uid="{3F55FECB-8AEC-4F40-A263-683094D4358C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Alvi</t>
        </r>
      </text>
    </comment>
    <comment ref="H14" authorId="0" shapeId="0" xr:uid="{28FA369C-12E5-4647-9C56-DA0DEEF60D7B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Queso
- Chocolate
- Huevos.
- Tottus</t>
        </r>
      </text>
    </comment>
    <comment ref="G15" authorId="0" shapeId="0" xr:uid="{BA9C0864-9078-4555-AEF2-7F565DA30692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Bencina</t>
        </r>
      </text>
    </comment>
    <comment ref="H15" authorId="0" shapeId="0" xr:uid="{C593C5FE-287E-477D-B7BF-C59F1576EB33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Tottus</t>
        </r>
      </text>
    </comment>
    <comment ref="H19" authorId="0" shapeId="0" xr:uid="{BBF71352-E221-462C-B8FD-37420F1A9678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Acuenta
- Acuenta
</t>
        </r>
      </text>
    </comment>
    <comment ref="H21" authorId="0" shapeId="0" xr:uid="{925C26FC-E694-45B4-96F4-72B2DBAEF43B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Chocolate Merkén
- Aceitunas</t>
        </r>
      </text>
    </comment>
    <comment ref="H24" authorId="0" shapeId="0" xr:uid="{BA89C37B-FF3D-43BF-A81A-01F5B0DBC365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Lider</t>
        </r>
      </text>
    </comment>
    <comment ref="G25" authorId="0" shapeId="0" xr:uid="{36CD361B-F26F-4089-8863-AC4D1F6866B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Boaré</t>
        </r>
      </text>
    </comment>
    <comment ref="H25" authorId="0" shapeId="0" xr:uid="{46AE02FF-3195-480B-996C-23DC9850F81B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Harina
</t>
        </r>
      </text>
    </comment>
    <comment ref="G26" authorId="0" shapeId="0" xr:uid="{3AD64960-D1BD-4C15-B738-EA456E9E198B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Bencina
- Almapack
- Cotillón</t>
        </r>
      </text>
    </comment>
    <comment ref="H26" authorId="0" shapeId="0" xr:uid="{BBE56575-8B2C-4F57-AB20-895223CD156A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Super ganga
- El peumo
- Tito</t>
        </r>
      </text>
    </comment>
    <comment ref="H27" authorId="0" shapeId="0" xr:uid="{A075F446-F4A3-4AA5-A261-B92AE4FC7000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JD
- Super Ganga</t>
        </r>
      </text>
    </comment>
    <comment ref="H28" authorId="0" shapeId="0" xr:uid="{CF1AC558-0480-4595-840A-B6F8CB056B98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Tottus
- Soprole</t>
        </r>
      </text>
    </comment>
    <comment ref="H29" authorId="0" shapeId="0" xr:uid="{F3E75B09-C385-4C80-81C8-409313D9A4F4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Jd
- Carniceria</t>
        </r>
      </text>
    </comment>
    <comment ref="G30" authorId="0" shapeId="0" xr:uid="{921C2293-CE31-4FFF-983E-F8C1E0B0ECE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H30" authorId="0" shapeId="0" xr:uid="{CB2A94B8-B685-4598-A37A-5B36BDAF88B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Longanizas
- Tito Pal
- Unimarc
- Lechugas
- Pan Francés</t>
        </r>
      </text>
    </comment>
    <comment ref="G31" authorId="0" shapeId="0" xr:uid="{DFD7ECAA-C478-4E55-BB79-EFA54FBB14D2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Bencina</t>
        </r>
      </text>
    </comment>
    <comment ref="H31" authorId="0" shapeId="0" xr:uid="{8B31A39E-1376-4D9F-9332-F5BEA8769EC7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Tottus Carne</t>
        </r>
      </text>
    </comment>
    <comment ref="H32" authorId="0" shapeId="0" xr:uid="{B695D44D-22F5-419C-A6BF-92A4854CE82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Ganga
- Harina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BoAré</author>
    <author>Packard Bell</author>
  </authors>
  <commentList>
    <comment ref="D37" authorId="0" shapeId="0" xr:uid="{A8460F5F-AA2B-4933-9DE3-8A0D479EED4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 (26/05)
</t>
        </r>
      </text>
    </comment>
    <comment ref="D38" authorId="0" shapeId="0" xr:uid="{FF0B8EE0-DBB7-4E78-9B5B-EF379433D3E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Amanda creative</t>
        </r>
      </text>
    </comment>
    <comment ref="D41" authorId="0" shapeId="0" xr:uid="{C5D180A6-4CFB-4408-983F-1F86396524B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</t>
        </r>
      </text>
    </comment>
    <comment ref="D42" authorId="0" shapeId="0" xr:uid="{BC37E5FB-EDF0-4AFE-8EB9-A9662A4C96C5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Bencina</t>
        </r>
      </text>
    </comment>
    <comment ref="E42" authorId="0" shapeId="0" xr:uid="{839A76A7-8AA9-4E18-827E-AE44F53C113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Paltas. cebollas
- Aceite ganga.
- Chancaca</t>
        </r>
      </text>
    </comment>
    <comment ref="E44" authorId="0" shapeId="0" xr:uid="{FDACF48E-83D9-418C-8987-D8148400CDD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Papas, cebollas
- Carne empanadas</t>
        </r>
      </text>
    </comment>
    <comment ref="D45" authorId="0" shapeId="0" xr:uid="{F4F209F3-320D-4DDD-934C-4C8DFA2D3FA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Veneno ratones</t>
        </r>
      </text>
    </comment>
    <comment ref="E45" authorId="0" shapeId="0" xr:uid="{06810A9F-E261-45EC-BD9D-6056A316599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
- Huevos</t>
        </r>
      </text>
    </comment>
    <comment ref="D46" authorId="0" shapeId="0" xr:uid="{414FCCFA-29A0-41D3-AF12-968534440B5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Arriendo
</t>
        </r>
      </text>
    </comment>
    <comment ref="D47" authorId="0" shapeId="0" xr:uid="{B932455B-7BED-49C7-8C0C-A7EE178258D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Aceite Camión</t>
        </r>
      </text>
    </comment>
    <comment ref="E47" authorId="0" shapeId="0" xr:uid="{35A68BC6-5BDE-46E5-BB6E-9E3D37883A3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Titi pal
- Levaura
- Tottus</t>
        </r>
      </text>
    </comment>
    <comment ref="D48" authorId="0" shapeId="0" xr:uid="{5214B2D6-E819-4E35-855C-5CB1FB6EA2E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Amanda Creative</t>
        </r>
      </text>
    </comment>
    <comment ref="D49" authorId="0" shapeId="0" xr:uid="{410A5B4D-D5BA-4CD6-82A7-EBFCEA8BDFF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Pino tablas dia del padre</t>
        </r>
      </text>
    </comment>
    <comment ref="E49" authorId="0" shapeId="0" xr:uid="{086C9EAF-BAA0-42CD-8EA0-44189BE6B49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Lider
- Saldaña</t>
        </r>
      </text>
    </comment>
    <comment ref="D50" authorId="0" shapeId="0" xr:uid="{CD749D42-A3F3-4DD8-933F-30807282DCF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Celofán
- Bencina generador</t>
        </r>
      </text>
    </comment>
    <comment ref="E50" authorId="0" shapeId="0" xr:uid="{EA7BB308-300E-4C0A-B763-DAC33FE0AE0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aceirunas y nueces
- Tiro pal</t>
        </r>
      </text>
    </comment>
    <comment ref="D51" authorId="0" shapeId="0" xr:uid="{AE08321A-8ACC-4E7D-9E99-7EDC701408F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Redes Sociales
- Bencina </t>
        </r>
      </text>
    </comment>
    <comment ref="D52" authorId="0" shapeId="0" xr:uid="{6BAD7E25-B842-47C6-87D7-1C2242AD063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</t>
        </r>
      </text>
    </comment>
    <comment ref="E52" authorId="0" shapeId="0" xr:uid="{A01DD6D0-334D-42CE-BA6F-13C9C4F829A0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Vanni</t>
        </r>
      </text>
    </comment>
    <comment ref="E53" authorId="0" shapeId="0" xr:uid="{68B95688-367F-4ACF-8EEC-F5AF93A4F490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Tito pal</t>
        </r>
      </text>
    </comment>
    <comment ref="D54" authorId="0" shapeId="0" xr:uid="{5F8CB5B1-5072-4485-93AA-835AEE012D9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Corchetera
-  veneno
- Notaria</t>
        </r>
      </text>
    </comment>
    <comment ref="E54" authorId="0" shapeId="0" xr:uid="{874BE64F-B300-4D08-B604-311D6A85DCE8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Manjar</t>
        </r>
      </text>
    </comment>
    <comment ref="E55" authorId="0" shapeId="0" xr:uid="{D4AE03E9-7D4C-4D06-9F09-FB4118ABC3F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Donas
- Super ganga</t>
        </r>
      </text>
    </comment>
    <comment ref="D57" authorId="0" shapeId="0" xr:uid="{26614E0B-2A6A-46A9-8EAE-B2FF53F464BC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Bencina
- Ferretria - alicate</t>
        </r>
      </text>
    </comment>
    <comment ref="E57" authorId="0" shapeId="0" xr:uid="{9B3971D1-8587-4965-A78C-0BE4B1CB50BC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Saldaña
- Tito pal</t>
        </r>
      </text>
    </comment>
    <comment ref="E59" authorId="0" shapeId="0" xr:uid="{5C80256A-6AA5-4AA8-815F-8C95B381358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Cebollas
- Jumbo</t>
        </r>
      </text>
    </comment>
    <comment ref="E60" authorId="0" shapeId="0" xr:uid="{C308305D-5B35-4E44-8C48-C17EBD5905DC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Jumbo
- Aceitunas
</t>
        </r>
      </text>
    </comment>
    <comment ref="D61" authorId="0" shapeId="0" xr:uid="{C8DA978A-F535-4837-906A-E75179E3419D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Amanda Creative</t>
        </r>
      </text>
    </comment>
    <comment ref="E61" authorId="0" shapeId="0" xr:uid="{3AA5E789-391C-46AF-974C-6B5CBE0D48CD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Lider
- Tito pal
- Camarones</t>
        </r>
      </text>
    </comment>
    <comment ref="D62" authorId="0" shapeId="0" xr:uid="{0DE34E21-6243-4CE2-9AFA-C7182B5752C4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Brncina</t>
        </r>
      </text>
    </comment>
    <comment ref="E62" authorId="0" shapeId="0" xr:uid="{7D851A7E-4B33-41F5-8F0B-F6CAEF3CECD3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Lider
- Lider
- Soprole</t>
        </r>
      </text>
    </comment>
    <comment ref="E63" authorId="0" shapeId="0" xr:uid="{7B8FEDE1-E000-4DC0-A617-C6CF33D6EE31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Huevos
- Tottus
- Tottus
</t>
        </r>
      </text>
    </comment>
    <comment ref="E64" authorId="0" shapeId="0" xr:uid="{FAC93FE2-B0DA-4AEF-A6D0-0B6D99DC0FD3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Harina</t>
        </r>
      </text>
    </comment>
    <comment ref="E65" authorId="0" shapeId="0" xr:uid="{B4BCA5B3-84AB-466E-BBB8-74E7F4BAE797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Alvi</t>
        </r>
      </text>
    </comment>
    <comment ref="D66" authorId="0" shapeId="0" xr:uid="{B3EBA1D4-FBBE-4E7A-9F62-D502EFE79570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Estaconamiento</t>
        </r>
      </text>
    </comment>
    <comment ref="E66" authorId="0" shapeId="0" xr:uid="{4F226D4C-56F9-42E6-B5DD-259707B9BF47}">
      <text>
        <r>
          <rPr>
            <b/>
            <sz val="9"/>
            <color indexed="81"/>
            <rFont val="Tahoma"/>
            <charset val="1"/>
          </rPr>
          <t>BoAré:</t>
        </r>
        <r>
          <rPr>
            <sz val="9"/>
            <color indexed="81"/>
            <rFont val="Tahoma"/>
            <charset val="1"/>
          </rPr>
          <t xml:space="preserve">
- Jugo
- Lechuga
- Vega
- Lider</t>
        </r>
      </text>
    </comment>
    <comment ref="D73" authorId="0" shapeId="0" xr:uid="{2DBB21E1-398D-40BB-9F38-2CAB96DDE64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Disco asado
- Sodimac</t>
        </r>
      </text>
    </comment>
    <comment ref="D74" authorId="0" shapeId="0" xr:uid="{B0E8D76D-C56C-40C0-8352-5B9C0A2BF8A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Bauplan</t>
        </r>
      </text>
    </comment>
    <comment ref="E74" authorId="0" shapeId="0" xr:uid="{02FE41D5-E63C-47FD-88B9-511200FB097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condensada</t>
        </r>
      </text>
    </comment>
    <comment ref="D76" authorId="0" shapeId="0" xr:uid="{E7F0C4A1-D7CA-4A85-AF6A-654BD2FE0B9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Gasfiteria
- Sodimac
- Arriendo
- Pago RRSS
- Sueldos</t>
        </r>
      </text>
    </comment>
    <comment ref="D77" authorId="0" shapeId="0" xr:uid="{67804165-D5A5-4307-99A0-6C542FC0591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Enchufe</t>
        </r>
      </text>
    </comment>
    <comment ref="D78" authorId="0" shapeId="0" xr:uid="{00782D0E-E51F-4112-882F-65ED7B0C795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Vidri o y espejo</t>
        </r>
      </text>
    </comment>
    <comment ref="E78" authorId="0" shapeId="0" xr:uid="{2188EFAD-B3F7-453F-8E78-2DDCC187BC8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Palanca</t>
        </r>
      </text>
    </comment>
    <comment ref="D79" authorId="0" shapeId="0" xr:uid="{94C08DFA-D8A4-4C57-9BF2-123E6C4505A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79" authorId="0" shapeId="0" xr:uid="{F69D9E93-663D-4A91-ABFA-146465D1A30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crema
- Nuevo Amanecer.
- Jd
Tito Pal.
- Saldaña.
- Jumbo</t>
        </r>
      </text>
    </comment>
    <comment ref="E80" authorId="0" shapeId="0" xr:uid="{3053C120-99C8-4B73-8AB1-3C83A9D489A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Pescaderia.
- Congelados.
- Longanizas
- Jumbo</t>
        </r>
      </text>
    </comment>
    <comment ref="D81" authorId="0" shapeId="0" xr:uid="{D5225AEF-8D39-467B-B26D-6CE6CCBEC37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81" authorId="0" shapeId="0" xr:uid="{977F4961-BE54-4B0C-A4F8-6BBFEBD86C0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Kamadi - hielo
</t>
        </r>
      </text>
    </comment>
    <comment ref="D83" authorId="0" shapeId="0" xr:uid="{68042670-9406-4BBA-ABA9-66441086F68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Dream hose
- Pago espejo mágico
- Pago sillas
- Pago sueldos</t>
        </r>
      </text>
    </comment>
    <comment ref="E83" authorId="0" shapeId="0" xr:uid="{42E4050C-41B8-4C3B-92CA-F2E3CAD615D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Ganga,</t>
        </r>
      </text>
    </comment>
    <comment ref="D84" authorId="0" shapeId="0" xr:uid="{57940ADA-4696-4646-B337-8D03E2819D8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Percheros
- Pago niza</t>
        </r>
      </text>
    </comment>
    <comment ref="E84" authorId="0" shapeId="0" xr:uid="{D8CCEA5A-EB61-457A-81D3-6C593EFB0B0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Pechugas tottus
- Huevos</t>
        </r>
      </text>
    </comment>
    <comment ref="D86" authorId="0" shapeId="0" xr:uid="{38CE13F0-3004-4D07-9BED-494976C5710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</t>
        </r>
      </text>
    </comment>
    <comment ref="E86" authorId="0" shapeId="0" xr:uid="{FBF07555-F919-435B-9CC9-AE4FF4E7B3F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Camarones
</t>
        </r>
      </text>
    </comment>
    <comment ref="D87" authorId="0" shapeId="0" xr:uid="{5D11D912-FC93-4107-BB8B-CD4EE5520BB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88" authorId="0" shapeId="0" xr:uid="{EF701BFA-DF2E-4E0C-AAC4-9525549141A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Contadora
- Pago Lukas</t>
        </r>
      </text>
    </comment>
    <comment ref="D89" authorId="0" shapeId="0" xr:uid="{13C6036F-AFB9-429A-8DBA-AC5C9FA83F3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Pilas calefont</t>
        </r>
      </text>
    </comment>
    <comment ref="D91" authorId="0" shapeId="0" xr:uid="{166298AC-7F8E-45EC-A8D4-F2F51EFDC83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
</t>
        </r>
      </text>
    </comment>
    <comment ref="E91" authorId="0" shapeId="0" xr:uid="{24E496F6-0CA5-43B3-8457-4492896E8D5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Vino blanco caja x 6
</t>
        </r>
      </text>
    </comment>
    <comment ref="E94" authorId="0" shapeId="0" xr:uid="{4494659C-0284-4415-96CF-F43C03E0833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Saldaña.</t>
        </r>
      </text>
    </comment>
    <comment ref="D96" authorId="0" shapeId="0" xr:uid="{C71BF147-F68A-498A-9BEE-FDD92AFE920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97" authorId="0" shapeId="0" xr:uid="{02308EB2-F72C-4CDA-A9E6-672A3D19FE1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</t>
        </r>
      </text>
    </comment>
    <comment ref="E97" authorId="0" shapeId="0" xr:uid="{62BD4F17-E553-49D4-BDC6-132E41A9077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 especial
- Levadura</t>
        </r>
      </text>
    </comment>
    <comment ref="D98" authorId="0" shapeId="0" xr:uid="{855631BA-48FC-4EB8-B7EF-7AC55709E9E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Fuente chinos</t>
        </r>
      </text>
    </comment>
    <comment ref="E98" authorId="0" shapeId="0" xr:uid="{BF4AFB0A-1BB5-4EDE-9598-4D5AE85D341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Zapallo.
- Queso</t>
        </r>
      </text>
    </comment>
    <comment ref="E99" authorId="0" shapeId="0" xr:uid="{CBF0D356-421B-499A-A5E5-2D8783BC1E0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Mechada
- Jumbo</t>
        </r>
      </text>
    </comment>
    <comment ref="D102" authorId="0" shapeId="0" xr:uid="{8A4B976F-3D82-4A9B-A0C7-53596256282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107" authorId="0" shapeId="0" xr:uid="{9AD71760-8F05-4589-AC73-5E0768421FA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Notaria
- Compras luces y pasta muro</t>
        </r>
      </text>
    </comment>
    <comment ref="E107" authorId="0" shapeId="0" xr:uid="{969F7B6C-2C20-4C42-8623-1292532BC07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crema</t>
        </r>
      </text>
    </comment>
    <comment ref="D109" authorId="0" shapeId="0" xr:uid="{AE23FFBD-8614-4051-80E8-6BA57B16001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- Pilas calefont</t>
        </r>
      </text>
    </comment>
    <comment ref="E109" authorId="0" shapeId="0" xr:uid="{754DCC3B-C73F-4B6C-961B-B56EE9C52FB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
- Jumbo</t>
        </r>
      </text>
    </comment>
    <comment ref="D110" authorId="0" shapeId="0" xr:uid="{F3FF9E42-531D-4526-A6DF-E1E46E88FB1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Escalera
- Lider</t>
        </r>
      </text>
    </comment>
    <comment ref="E110" authorId="0" shapeId="0" xr:uid="{BE03D5A2-E7E1-4695-AE40-EF08F78D8BC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evaporada
- Lider.
- Unimarc</t>
        </r>
      </text>
    </comment>
    <comment ref="D111" authorId="0" shapeId="0" xr:uid="{0B0F7930-F056-4FE2-B60A-6E8A3A64841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Sueldos
 - Aracely
 - Joshua
 - Lesli</t>
        </r>
      </text>
    </comment>
    <comment ref="D112" authorId="0" shapeId="0" xr:uid="{CE8B5D80-CA60-44B0-90EC-DE8A7822DCF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Previsiones</t>
        </r>
      </text>
    </comment>
    <comment ref="E112" authorId="0" shapeId="0" xr:uid="{21254203-B701-4323-B0E6-4D27B25ACED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113" authorId="0" shapeId="0" xr:uid="{82D31B33-D5BD-4082-AB47-2BB3FD22AB2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Contrumart
- Easy</t>
        </r>
      </text>
    </comment>
    <comment ref="D114" authorId="0" shapeId="0" xr:uid="{3FB62B70-0768-4256-9985-9DF52D9B33D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Compras Easy, para nuevo local.
- Estacionamiento</t>
        </r>
      </text>
    </comment>
    <comment ref="D115" authorId="0" shapeId="0" xr:uid="{7954E1F3-2912-4F42-9533-2D6FFA13106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Camión
- Video Joaco</t>
        </r>
      </text>
    </comment>
    <comment ref="E115" authorId="0" shapeId="0" xr:uid="{71A530DB-959C-4C3F-8506-8E2941EA436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Mantecoso</t>
        </r>
      </text>
    </comment>
    <comment ref="D116" authorId="0" shapeId="0" xr:uid="{808A3460-16DE-4B99-9753-4A184C7E5B7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
- Brocha.
- Pimtura.
- Campana
- Maestro
- Llaves Local
- Anticipo dream House</t>
        </r>
      </text>
    </comment>
    <comment ref="D117" authorId="0" shapeId="0" xr:uid="{2A7DC6B0-BE30-45B1-B059-B546AE8638D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Maestro Luis
</t>
        </r>
      </text>
    </comment>
    <comment ref="E117" authorId="0" shapeId="0" xr:uid="{610B6D6C-0A47-4F38-84DE-EE8DEB4C354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118" authorId="0" shapeId="0" xr:uid="{3D000300-B1DA-4DC1-9F3B-D812D6BF48B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Pino 2x2 local
</t>
        </r>
      </text>
    </comment>
    <comment ref="E118" authorId="0" shapeId="0" xr:uid="{906611C7-3724-478A-AFA0-24540B2C6BA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
-Vega
- Saldaña
- Longanizas</t>
        </r>
      </text>
    </comment>
    <comment ref="D120" authorId="0" shapeId="0" xr:uid="{ABE5981B-218A-4A60-815C-9C373077AC1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Lavamanos
</t>
        </r>
      </text>
    </comment>
    <comment ref="E120" authorId="0" shapeId="0" xr:uid="{15E1FD0E-E24B-4655-98CD-2EA7C6826B7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Santa isabel Chiguayante
- Jumbo chigua</t>
        </r>
      </text>
    </comment>
    <comment ref="D121" authorId="0" shapeId="0" xr:uid="{199AECF2-C230-4781-A98F-90EA07D0217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Terciados local
- Iplacex
- Anticipo Niza
</t>
        </r>
      </text>
    </comment>
    <comment ref="D122" authorId="0" shapeId="0" xr:uid="{6F9A9202-7D8D-421A-84A4-181F1C49D8D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Cuota camión </t>
        </r>
      </text>
    </comment>
    <comment ref="E122" authorId="0" shapeId="0" xr:uid="{EEA33CBE-F9D4-4D5E-824D-AE23CD7E79A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
- Azúcar flor
</t>
        </r>
      </text>
    </comment>
    <comment ref="E123" authorId="0" shapeId="0" xr:uid="{CCDAE453-E524-495E-9A63-03FB246D465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</t>
        </r>
      </text>
    </comment>
    <comment ref="D124" authorId="0" shapeId="0" xr:uid="{9AA7F082-E435-4B6F-AFAD-94B946E9C4C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Melamina
</t>
        </r>
      </text>
    </comment>
    <comment ref="D126" authorId="0" shapeId="0" xr:uid="{FEEC40DA-7C30-4092-A21F-6A24E630900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128" authorId="0" shapeId="0" xr:uid="{7C1ED195-7BD9-4AB7-8D5A-3655AFFC50B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Easy Local</t>
        </r>
      </text>
    </comment>
    <comment ref="E128" authorId="0" shapeId="0" xr:uid="{804248EA-94CC-4886-9EE6-87319F07032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129" authorId="0" shapeId="0" xr:uid="{75EDEF65-C57F-4B11-8EB9-E0B4505AF91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Interruptor Veldor
- Tapacanto, tarugos, tornilos</t>
        </r>
      </text>
    </comment>
    <comment ref="E129" authorId="0" shapeId="0" xr:uid="{A713B3D9-93F6-4546-A68A-D5702BCC2FA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empanada
- Saldaña
</t>
        </r>
      </text>
    </comment>
    <comment ref="D130" authorId="0" shapeId="0" xr:uid="{1BE6E0EA-3AAF-473E-8BBF-ECBB85067CA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video empanadas
- Pago DonLuis</t>
        </r>
      </text>
    </comment>
    <comment ref="D131" authorId="0" shapeId="0" xr:uid="{C479996B-5508-48C4-8FD1-8879479F038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Casa del mueble</t>
        </r>
      </text>
    </comment>
    <comment ref="D134" authorId="0" shapeId="0" xr:uid="{6E8169A6-E6E3-41A0-950E-7E275829EA2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Interruptor</t>
        </r>
      </text>
    </comment>
    <comment ref="E134" authorId="0" shapeId="0" xr:uid="{F227D77E-118C-4664-B01D-9C55C218A38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Harina
Unimarc</t>
        </r>
      </text>
    </comment>
    <comment ref="D135" authorId="0" shapeId="0" xr:uid="{240A452D-D0C9-4998-837C-F806DE3BB08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Sodimac nuevo local</t>
        </r>
      </text>
    </comment>
    <comment ref="E135" authorId="0" shapeId="0" xr:uid="{9BB1E52A-CA26-4D94-9BC3-30B0081E4E1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
- Huevos
- Aceitunas</t>
        </r>
      </text>
    </comment>
    <comment ref="D136" authorId="0" shapeId="0" xr:uid="{2335B290-EA48-4A9B-B2C2-47191CAA56F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Boare</t>
        </r>
      </text>
    </comment>
    <comment ref="E136" authorId="0" shapeId="0" xr:uid="{C8C3539C-DCE7-49FD-8928-6D90D1D25A3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Aceitunas</t>
        </r>
      </text>
    </comment>
    <comment ref="D146" authorId="0" shapeId="0" xr:uid="{DF6AF981-6619-4A12-BE5F-4A1D8F683AC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Saba</t>
        </r>
      </text>
    </comment>
    <comment ref="D147" authorId="0" shapeId="0" xr:uid="{8C9122DC-D7FF-4F83-BA81-94128A9299D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</t>
        </r>
      </text>
    </comment>
    <comment ref="D149" authorId="0" shapeId="0" xr:uid="{43ED54C3-D2C2-4600-B11C-1C55C8E1E36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Mesas sodimac
- Estampados</t>
        </r>
      </text>
    </comment>
    <comment ref="E149" authorId="0" shapeId="0" xr:uid="{604B661C-C419-4C64-9CF3-27A937719A6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 -Quso Crema
- choclo
- Tottus</t>
        </r>
      </text>
    </comment>
    <comment ref="D151" authorId="0" shapeId="0" xr:uid="{CA782FAB-5DA8-49A0-B272-58B06F1360E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 Vicente</t>
        </r>
      </text>
    </comment>
    <comment ref="D152" authorId="0" shapeId="0" xr:uid="{54797BA9-DB31-4DB3-BBFF-C7095279342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Gidi
- Estacionamiento
- Bencina</t>
        </r>
      </text>
    </comment>
    <comment ref="E152" authorId="0" shapeId="0" xr:uid="{2906F063-A948-4B96-9405-E6EA5DFF42B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E153" authorId="0" shapeId="0" xr:uid="{4743F43B-F77A-46EE-9FDA-BC7788DB6D2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 
- Aceitunas.
- Gelatina</t>
        </r>
      </text>
    </comment>
    <comment ref="D154" authorId="0" shapeId="0" xr:uid="{BDAE5157-1C4E-4E6B-961D-BDE459601E4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155" authorId="0" shapeId="0" xr:uid="{5CEC1186-5104-43CC-B6E6-2246EE3C09A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Choclo
- Tito Pal</t>
        </r>
      </text>
    </comment>
    <comment ref="D156" authorId="0" shapeId="0" xr:uid="{CFB4954B-7634-4541-839C-444127012DD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garzones
</t>
        </r>
      </text>
    </comment>
    <comment ref="E156" authorId="0" shapeId="0" xr:uid="{4E53D53C-229E-42E3-A86D-03768BA1B3F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Tapapecho
</t>
        </r>
      </text>
    </comment>
    <comment ref="D157" authorId="0" shapeId="0" xr:uid="{DE8F093A-E8E4-42D9-A8BA-B3A5FEACD18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Estacionamiento,
- Bolsas.</t>
        </r>
      </text>
    </comment>
    <comment ref="E157" authorId="0" shapeId="0" xr:uid="{6EED3D54-2BC6-4C24-A690-35CC1C2923D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Totus
- Unimarc
- Cebollas</t>
        </r>
      </text>
    </comment>
    <comment ref="D158" authorId="0" shapeId="0" xr:uid="{620882CF-139C-4296-A4B7-74BA4FCC13F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159" authorId="0" shapeId="0" xr:uid="{77131904-868E-41B0-9E9D-EAB5B5EAD5D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Cortadores</t>
        </r>
      </text>
    </comment>
    <comment ref="E159" authorId="0" shapeId="0" xr:uid="{29B24508-D37F-422A-9151-73AE7EFE067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</t>
        </r>
      </text>
    </comment>
    <comment ref="D162" authorId="0" shapeId="0" xr:uid="{69FD2A2A-23C1-4040-867A-9A5FF86EC02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
- Bencina</t>
        </r>
      </text>
    </comment>
    <comment ref="E163" authorId="0" shapeId="0" xr:uid="{5256CFAD-5F58-48CE-BE5D-166E7B84610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Vino
- Carne mechada
- Queso mantecoso
- Pechugas
- Camarones</t>
        </r>
      </text>
    </comment>
    <comment ref="E164" authorId="0" shapeId="0" xr:uid="{E9607ACC-699E-4352-B2C9-7F668962ED7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Tottus</t>
        </r>
      </text>
    </comment>
    <comment ref="D165" authorId="0" shapeId="0" xr:uid="{2E007CF8-7B96-4AD7-818B-309C84FF79E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Contadora</t>
        </r>
      </text>
    </comment>
    <comment ref="E165" authorId="0" shapeId="0" xr:uid="{C3BF49D9-EBC6-4A1F-A723-2A05CB34DDB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E169" authorId="0" shapeId="0" xr:uid="{A90D3973-434F-4628-853A-A8974F53950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mantecoso
- Tottus.
- Jumbo.</t>
        </r>
      </text>
    </comment>
    <comment ref="D170" authorId="0" shapeId="0" xr:uid="{119E8144-0374-47E4-B989-DD8D6F22DE8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Vanni</t>
        </r>
      </text>
    </comment>
    <comment ref="D171" authorId="0" shapeId="0" xr:uid="{DC478DA0-F18E-4C97-B679-DCC78812DBF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Bencina
</t>
        </r>
      </text>
    </comment>
    <comment ref="E171" authorId="0" shapeId="0" xr:uid="{5BE965D7-1C69-4B51-830B-A06FBEFAAEF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Soprole
- Canasto de conejos.
- Letras BAR
</t>
        </r>
      </text>
    </comment>
    <comment ref="E172" authorId="0" shapeId="0" xr:uid="{EC5BC87F-8AC9-4F4D-884D-F902102FE51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</t>
        </r>
      </text>
    </comment>
    <comment ref="E173" authorId="0" shapeId="0" xr:uid="{27FE5DFD-8120-469A-A13F-3F0CFFF7DD2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Acuenta.
- Jumbo.</t>
        </r>
      </text>
    </comment>
    <comment ref="D174" authorId="0" shapeId="0" xr:uid="{032EFC59-B6C2-44CF-A53F-4CAD269944B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175" authorId="0" shapeId="0" xr:uid="{C98F2E4E-1DC8-4CCF-94ED-6AC299CCDE2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176" authorId="0" shapeId="0" xr:uid="{107AEB81-79D7-4623-901F-60CB4279E6C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Levadura</t>
        </r>
      </text>
    </comment>
    <comment ref="D181" authorId="0" shapeId="0" xr:uid="{A65A3D4F-453D-4822-BB68-27988E0FFB3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Mantención cta cte.</t>
        </r>
      </text>
    </comment>
    <comment ref="E183" authorId="0" shapeId="0" xr:uid="{2FDA579F-6817-4E0D-8A38-C42AF13094A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Unimarc.
- Queso</t>
        </r>
      </text>
    </comment>
    <comment ref="D184" authorId="0" shapeId="0" xr:uid="{943445C4-936D-4795-9068-65A6F2F1B3C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Garzones U de C.
- Pago Bolso Thermomix</t>
        </r>
      </text>
    </comment>
    <comment ref="E184" authorId="0" shapeId="0" xr:uid="{B38449CF-2776-4712-BB22-B97A8A61F95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Tottus</t>
        </r>
      </text>
    </comment>
    <comment ref="D185" authorId="0" shapeId="0" xr:uid="{F17812D4-D964-452F-8FEF-CED280504EE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Cotizaciones previsionales
- Sueldos</t>
        </r>
      </text>
    </comment>
    <comment ref="D186" authorId="0" shapeId="0" xr:uid="{E8CC6DAF-DA0B-4D5A-80B6-04689C60E20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Balanzas
- Petróleo</t>
        </r>
      </text>
    </comment>
    <comment ref="E186" authorId="0" shapeId="0" xr:uid="{B05867FD-CDBD-4D8C-9DA4-52DBBBF86B0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Tottus.
- Acuenta</t>
        </r>
      </text>
    </comment>
    <comment ref="E187" authorId="0" shapeId="0" xr:uid="{AAEBC71A-9D5D-443E-AD94-B0FE32059EA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Queso.
- Tostaduria saldaña.
</t>
        </r>
      </text>
    </comment>
    <comment ref="D190" authorId="0" shapeId="0" xr:uid="{22DA3464-295C-4418-B48F-0062ADA8AE0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Easy</t>
        </r>
      </text>
    </comment>
    <comment ref="E190" authorId="0" shapeId="0" xr:uid="{77848030-8917-47BF-A277-EC086C9873B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192" authorId="0" shapeId="0" xr:uid="{60CF9C51-BAF5-4D17-AC74-F8F77979B11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Chaqueta chef</t>
        </r>
      </text>
    </comment>
    <comment ref="E192" authorId="0" shapeId="0" xr:uid="{98264482-1FDE-407D-81E8-D1C58EF5767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
- TitoPal
- Vanni
- Pulpo y salmon</t>
        </r>
      </text>
    </comment>
    <comment ref="D193" authorId="0" shapeId="0" xr:uid="{ACAD595A-48FD-4A14-B3BD-9085B109A14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Estacionamiento
- JD Matrimonio
</t>
        </r>
      </text>
    </comment>
    <comment ref="E193" authorId="0" shapeId="0" xr:uid="{D4F645BE-006F-4C44-BED7-5EBF3A5A844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JD
- Jumbo</t>
        </r>
      </text>
    </comment>
    <comment ref="D194" authorId="0" shapeId="0" xr:uid="{144B5159-24EE-423C-BCBB-ACA45F57F04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194" authorId="0" shapeId="0" xr:uid="{6A9D81FF-8C52-43F0-A5E8-C584CC4DBC5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Tottus
- Jd, Malaya</t>
        </r>
      </text>
    </comment>
    <comment ref="D195" authorId="0" shapeId="0" xr:uid="{587542FB-808D-4A3D-BF23-2B4810D5B4E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Uber</t>
        </r>
      </text>
    </comment>
    <comment ref="E195" authorId="0" shapeId="0" xr:uid="{A0B5CE8A-9C3B-4C42-B530-9CF8D9BF882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Jumbo
- Unimarc
- Unimarc</t>
        </r>
      </text>
    </comment>
    <comment ref="D196" authorId="0" shapeId="0" xr:uid="{384B5575-0608-4F07-88B1-80856357D69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
Javiera
Joaquín
Cata
Asador
</t>
        </r>
      </text>
    </comment>
    <comment ref="D197" authorId="0" shapeId="0" xr:uid="{62A5EB5E-C8D0-4B10-9142-A3432389B1B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SAba</t>
        </r>
      </text>
    </comment>
    <comment ref="E197" authorId="0" shapeId="0" xr:uid="{0D988D47-9342-4D06-B2DA-60C5ADCEB6D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Vino Blanco</t>
        </r>
      </text>
    </comment>
    <comment ref="E198" authorId="0" shapeId="0" xr:uid="{97CCAFAF-6913-4900-8CA9-0DBAF78F55C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condensada</t>
        </r>
      </text>
    </comment>
    <comment ref="D200" authorId="0" shapeId="0" xr:uid="{7243C2B2-0BB6-4DEE-8940-9B18CE341AB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Contadora</t>
        </r>
      </text>
    </comment>
    <comment ref="D201" authorId="0" shapeId="0" xr:uid="{D59E91DE-9474-43EF-B3FC-0E56EB64D1E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Balanza cocina
- Giogio</t>
        </r>
      </text>
    </comment>
    <comment ref="E201" authorId="0" shapeId="0" xr:uid="{16AEB619-485F-4550-9D3C-163CAD74E5E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Saldaña
. Quesos
</t>
        </r>
      </text>
    </comment>
    <comment ref="D205" authorId="0" shapeId="0" xr:uid="{25E05DF8-E775-4D0E-BBE9-4B163BD0D0C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auto
- Bencina generador
- Petróleo</t>
        </r>
      </text>
    </comment>
    <comment ref="D207" authorId="0" shapeId="0" xr:uid="{9FA819E5-D721-4F53-8AE1-D086BCD98AF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
- Bencina
- Vanni
- Alcohol
- Tottus</t>
        </r>
      </text>
    </comment>
    <comment ref="E208" authorId="0" shapeId="0" xr:uid="{CA1A2971-F365-4FD7-8497-06A990C0B75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Peumo</t>
        </r>
      </text>
    </comment>
    <comment ref="D220" authorId="0" shapeId="0" xr:uid="{44EBEB86-383F-43A3-BBF7-BE1ECDEBFDD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</t>
        </r>
      </text>
    </comment>
    <comment ref="D221" authorId="0" shapeId="0" xr:uid="{E0CAB384-6260-42CD-B87A-81C771326A0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Mantención camión
- Regulador
- Benicna</t>
        </r>
      </text>
    </comment>
    <comment ref="E221" authorId="0" shapeId="0" xr:uid="{F79CA785-6FBC-4175-A35D-8B374C9FE6D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Tapapecho
- Jumbo
- Queso
- Carne JD.
- Tottus</t>
        </r>
      </text>
    </comment>
    <comment ref="D222" authorId="0" shapeId="0" xr:uid="{B0019FEE-70FC-4B20-BD09-C3B80987AE6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
- Petróleo</t>
        </r>
      </text>
    </comment>
    <comment ref="E222" authorId="0" shapeId="0" xr:uid="{6496483F-829B-4B96-ADC2-823B1A8E307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Crema.
- Pan francés
- Longaniza
</t>
        </r>
      </text>
    </comment>
    <comment ref="E223" authorId="0" shapeId="0" xr:uid="{C0EE1101-B9F6-4FF3-BDEB-DE5DE9FB758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</t>
        </r>
      </text>
    </comment>
    <comment ref="D224" authorId="0" shapeId="0" xr:uid="{D5B8556F-D2E4-4FDD-894B-DC683D25C00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Teléfono
- Vanni</t>
        </r>
      </text>
    </comment>
    <comment ref="E224" authorId="0" shapeId="0" xr:uid="{872D2039-D87C-4F23-9BAD-916CD49895B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
- Tito Pal</t>
        </r>
      </text>
    </comment>
    <comment ref="D225" authorId="0" shapeId="0" xr:uid="{4DFA70ED-9CCE-416F-A8D4-1C07E435995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Frutillas Humberto
- Miel.
- Pago Javiera
- Vanni</t>
        </r>
      </text>
    </comment>
    <comment ref="E225" authorId="0" shapeId="0" xr:uid="{49DE80EB-618A-4B66-9642-10CC0207124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Vino
- Harina
- Tottus
</t>
        </r>
      </text>
    </comment>
    <comment ref="E226" authorId="0" shapeId="0" xr:uid="{FBBF99A0-F833-4393-A352-5BF5BD48225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</t>
        </r>
      </text>
    </comment>
    <comment ref="D227" authorId="0" shapeId="0" xr:uid="{13FC097A-ABFA-4B2C-87F5-476D972892C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227" authorId="0" shapeId="0" xr:uid="{BB97412C-3D13-463A-B279-788A3C78EBA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Café Claudia</t>
        </r>
      </text>
    </comment>
    <comment ref="D228" authorId="0" shapeId="0" xr:uid="{CE45B10B-4906-48F5-985A-C8605A64EB6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Estacionamientos
</t>
        </r>
      </text>
    </comment>
    <comment ref="E229" authorId="0" shapeId="0" xr:uid="{32A5DD96-2BC6-4183-B652-D4CCB33571B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Jugos
- Totuus
- Queso</t>
        </r>
      </text>
    </comment>
    <comment ref="D230" authorId="0" shapeId="0" xr:uid="{D046913F-4FFA-40E2-9C9D-436BEDD9F32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Molino de cafe</t>
        </r>
      </text>
    </comment>
    <comment ref="E230" authorId="0" shapeId="0" xr:uid="{09965F2E-7151-43FD-B055-E362C8CEA17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</t>
        </r>
      </text>
    </comment>
    <comment ref="E231" authorId="0" shapeId="0" xr:uid="{58AF9075-A79D-4BC0-A36F-F695243A37D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Mayonesa </t>
        </r>
      </text>
    </comment>
    <comment ref="E232" authorId="0" shapeId="0" xr:uid="{751E96CA-BFE6-473E-AD62-7ECFBB8BF3F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D233" authorId="0" shapeId="0" xr:uid="{B323DB2F-6AC3-4EB8-86B2-590969F7AAB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D234" authorId="0" shapeId="0" xr:uid="{27B639CE-FA98-4FD2-9DAC-5148EB0C2AA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Anticipo</t>
        </r>
      </text>
    </comment>
    <comment ref="D235" authorId="0" shapeId="0" xr:uid="{A7008D6F-BA4A-4CC4-AB94-0FC7F316D60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Contadora
- IVA</t>
        </r>
      </text>
    </comment>
    <comment ref="E235" authorId="0" shapeId="0" xr:uid="{8320C64B-F104-4E0C-B0AF-BCE3E871FC0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para mechada
- Camarones100/150
- Aceite de oliva</t>
        </r>
      </text>
    </comment>
    <comment ref="E236" authorId="0" shapeId="0" xr:uid="{AA5407C8-DDDB-4909-AEC9-124758102C2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Pechugas</t>
        </r>
      </text>
    </comment>
    <comment ref="E237" authorId="0" shapeId="0" xr:uid="{0655C6F2-2F4F-4A65-BEE9-6175702B178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
- Queso</t>
        </r>
      </text>
    </comment>
    <comment ref="D238" authorId="0" shapeId="0" xr:uid="{787FF5DC-624C-4909-B2F2-FF198B8E7B6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238" authorId="0" shapeId="0" xr:uid="{D2FE3CA8-34B8-482D-B04B-04BCCD17C26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Nido
- A Cuenta</t>
        </r>
      </text>
    </comment>
    <comment ref="D239" authorId="0" shapeId="0" xr:uid="{662EC3FF-E203-4A6A-B1FA-55A8D89D9EA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Petróleo.
- Pago Joaco
- Pago Lukas</t>
        </r>
      </text>
    </comment>
    <comment ref="E239" authorId="0" shapeId="0" xr:uid="{3E073A2F-FC4B-4795-BADD-5D8AB419471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Limones
- Frutillas
- Tortas Lidia</t>
        </r>
      </text>
    </comment>
    <comment ref="D240" authorId="0" shapeId="0" xr:uid="{1EC394AA-3467-4E79-AD28-C1B4DB06819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Sueldo Javiera
- Credito Camión
- Gas casa</t>
        </r>
      </text>
    </comment>
    <comment ref="E240" authorId="0" shapeId="0" xr:uid="{9B1F33EF-C621-41AB-AA43-9D6123E42AE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-Unimarc Lomas
- Tito Pal
- Huevos
 - Pescaderia</t>
        </r>
      </text>
    </comment>
    <comment ref="D241" authorId="0" shapeId="0" xr:uid="{82BE331F-791E-4529-BFBA-032F364E605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242" authorId="0" shapeId="0" xr:uid="{9A3B228B-41B5-4A93-950B-26C7A338372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empanadas
- Queso crema</t>
        </r>
      </text>
    </comment>
    <comment ref="E243" authorId="0" shapeId="0" xr:uid="{5ED03364-A6F4-43DB-BA3D-8FA082D8BE2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Saldaña.
- Polvo de Hornear
- Unimarc.
- Tottus</t>
        </r>
      </text>
    </comment>
    <comment ref="E251" authorId="0" shapeId="0" xr:uid="{2574D14F-5479-47D8-897C-674354D0D26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252" authorId="0" shapeId="0" xr:uid="{9B0C819A-B712-4FE6-AB72-114FA2945F3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Mesas arriendo</t>
        </r>
      </text>
    </comment>
    <comment ref="E252" authorId="0" shapeId="0" xr:uid="{9DD30F8E-8733-4665-8A27-0E9742F5161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Unimarc </t>
        </r>
      </text>
    </comment>
    <comment ref="D253" authorId="0" shapeId="0" xr:uid="{ADA63AEC-D351-48C6-92D7-6341D6A83ED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Estacionamiento
- Dummies torta Bárbara
- Daniela chef.
- Devolucoones Marisol</t>
        </r>
      </text>
    </comment>
    <comment ref="E253" authorId="0" shapeId="0" xr:uid="{51559CAD-32CD-42DE-9933-119FFED3DC1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Unimarc
- Tottus</t>
        </r>
      </text>
    </comment>
    <comment ref="E254" authorId="0" shapeId="0" xr:uid="{D2282C0F-F46C-4E2E-B428-7B454CC37E2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Tito Pal</t>
        </r>
      </text>
    </comment>
    <comment ref="D255" authorId="0" shapeId="0" xr:uid="{5CEA7F92-14BE-413F-B72B-8E6414C3308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Cajas navideñas extras
- Sueldos</t>
        </r>
      </text>
    </comment>
    <comment ref="E255" authorId="0" shapeId="0" xr:uid="{E68557A0-AD1F-4D68-9276-4FFC7336EBE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Pal.
- Jumbo</t>
        </r>
      </text>
    </comment>
    <comment ref="D256" authorId="0" shapeId="0" xr:uid="{8E540821-2531-4E91-8146-604AB31CA43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Vasos. 10 cajas</t>
        </r>
      </text>
    </comment>
    <comment ref="E257" authorId="0" shapeId="0" xr:uid="{D4D43D76-A4E6-448E-B96B-4816FED37A1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Super ganga
- Tottus</t>
        </r>
      </text>
    </comment>
    <comment ref="D258" authorId="0" shapeId="0" xr:uid="{D0C6D967-3E7C-4346-B2B0-FD43730861F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 Santa fe
- Figura fondant</t>
        </r>
      </text>
    </comment>
    <comment ref="D259" authorId="0" shapeId="0" xr:uid="{0204B6D3-717C-4A65-88AA-61A34B9A6B4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259" authorId="0" shapeId="0" xr:uid="{9D6BAF48-2B83-4335-A218-1D73E5336B3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</t>
        </r>
      </text>
    </comment>
    <comment ref="D260" authorId="0" shapeId="0" xr:uid="{1B64ED26-6354-4BD7-AA84-3C92CD2ADE38}">
      <text>
        <r>
          <rPr>
            <b/>
            <sz val="9"/>
            <color indexed="81"/>
            <rFont val="Tahoma"/>
            <family val="2"/>
          </rPr>
          <t>BoAré:
- Pago sueldo garzones y Pavel.
- Cámara 360°
- Niza</t>
        </r>
      </text>
    </comment>
    <comment ref="E261" authorId="0" shapeId="0" xr:uid="{A92C65B4-20EC-4D22-BA22-1DDDD3C79E4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Saldaña.
- Tito Pal
- Pechugas
- Soprole
- Jumbo</t>
        </r>
      </text>
    </comment>
    <comment ref="D263" authorId="0" shapeId="0" xr:uid="{FBB63D3F-E405-47B5-9898-F7BDB1FBE72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Cotizaciones</t>
        </r>
      </text>
    </comment>
    <comment ref="D264" authorId="0" shapeId="0" xr:uid="{CBC23928-A6AE-4DAF-A1D7-0429D7C0EA4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Cajas sodimac
- Casa Ideas</t>
        </r>
      </text>
    </comment>
    <comment ref="E264" authorId="0" shapeId="0" xr:uid="{75D56C78-8A09-4948-A3A5-71B600C6F65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Tottus</t>
        </r>
      </text>
    </comment>
    <comment ref="D265" authorId="0" shapeId="0" xr:uid="{C2193E35-1A6D-4BB4-8EAB-185FFF9E3CA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265" authorId="0" shapeId="0" xr:uid="{C9E68B4C-C1D2-482F-AF7E-3C63F64F585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266" authorId="0" shapeId="0" xr:uid="{B75FEA8B-4DE2-4DD9-8290-9FC5B2097A0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Arriendo Dreams house</t>
        </r>
      </text>
    </comment>
    <comment ref="E266" authorId="0" shapeId="0" xr:uid="{237D5EAF-74F3-42F6-8E32-52E107D43F8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
- Queso crema
- Sal de Meza.
- Harina
- Tito Pal</t>
        </r>
      </text>
    </comment>
    <comment ref="D267" authorId="0" shapeId="0" xr:uid="{34A4020F-01E6-4CD7-B868-AF8B5A50539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Rueda parrilla</t>
        </r>
      </text>
    </comment>
    <comment ref="E267" authorId="0" shapeId="0" xr:uid="{99373A0A-CBD9-414E-BAB7-285AB39426C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JD
- Tottus
- Jumbo
- Tito Pal</t>
        </r>
      </text>
    </comment>
    <comment ref="D268" authorId="0" shapeId="0" xr:uid="{C2FF2998-8B39-4C2C-BE7E-ABEBD7A92FA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Carbon
Petróleo
- Copas</t>
        </r>
      </text>
    </comment>
    <comment ref="E268" authorId="0" shapeId="0" xr:uid="{2C1F069B-7C0F-4933-BC13-A3A232354B5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</t>
        </r>
      </text>
    </comment>
    <comment ref="D269" authorId="0" shapeId="0" xr:uid="{80DB502D-0DB3-4B9D-9F4B-2446778AA68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Sacos de carbón
- Crédito camión
</t>
        </r>
      </text>
    </comment>
    <comment ref="E269" authorId="0" shapeId="0" xr:uid="{6739C91C-5E9B-4F8D-AB0C-7E73B97CA6F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Anticipo cordero
- Sal vino tinto
- Vega
- Versluys
- Tottus
- Tito Pal
- JD</t>
        </r>
      </text>
    </comment>
    <comment ref="D270" authorId="0" shapeId="0" xr:uid="{D0F53D83-0155-47C0-BCB1-05D454C276A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270" authorId="0" shapeId="0" xr:uid="{33640546-3E5D-4597-9113-9F21FB813A6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Jamón</t>
        </r>
      </text>
    </comment>
    <comment ref="D271" authorId="0" shapeId="0" xr:uid="{D663BBDD-7C42-4860-90CA-D94052BA7555}">
      <text>
        <r>
          <rPr>
            <b/>
            <sz val="9"/>
            <color indexed="81"/>
            <rFont val="Tahoma"/>
            <family val="2"/>
          </rPr>
          <t>BoAré:
- Pago niza
- Pago Grazones dream - El Oregano</t>
        </r>
      </text>
    </comment>
    <comment ref="D273" authorId="0" shapeId="0" xr:uid="{E644A810-94B7-4E1E-AEBA-CD23E9E8A22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
- Bencina
- IVA
- Contadora</t>
        </r>
      </text>
    </comment>
    <comment ref="E273" authorId="0" shapeId="0" xr:uid="{339E1AE3-D16B-4467-9742-A6A3FEA8B8B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Yogurt griego
- Chocolate Merkén</t>
        </r>
      </text>
    </comment>
    <comment ref="D275" authorId="0" shapeId="0" xr:uid="{206DD0D5-A38E-4122-AC40-98A048D7712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 javiera
- Aguinaldos</t>
        </r>
      </text>
    </comment>
    <comment ref="D277" authorId="0" shapeId="0" xr:uid="{283D65D3-2871-4535-B88D-850F45F1493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D278" authorId="0" shapeId="0" xr:uid="{5E304349-3A8D-4D99-A585-87965634EF0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E278" authorId="0" shapeId="0" xr:uid="{BA99E29F-2950-40DF-B004-C0641BF3A0C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Chocolate Merkén.
- Queso empanada
- Tito Pal</t>
        </r>
      </text>
    </comment>
    <comment ref="D279" authorId="0" shapeId="0" xr:uid="{470F4395-08CC-4311-82FC-FBA325D3720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Banderitas "LA Araucana"
</t>
        </r>
      </text>
    </comment>
    <comment ref="E279" authorId="0" shapeId="0" xr:uid="{CE55EFEF-1750-404A-AF09-60ABC2C94D8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280" authorId="0" shapeId="0" xr:uid="{3CAD50A3-4ACE-4B2B-AC01-BCDF17670D9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280" authorId="0" shapeId="0" xr:uid="{D6AF5E67-D1DE-42F0-8A28-71B7FA7887C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para mechada</t>
        </r>
      </text>
    </comment>
    <comment ref="E281" authorId="0" shapeId="0" xr:uid="{3EBA0F0A-10F9-495B-AD81-D478814F893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Cordero</t>
        </r>
      </text>
    </comment>
    <comment ref="D287" authorId="0" shapeId="0" xr:uid="{CB023FFA-1AD4-45EC-98B7-71FC3F2FE57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Auto</t>
        </r>
      </text>
    </comment>
    <comment ref="E287" authorId="0" shapeId="0" xr:uid="{528CC4B4-0F00-4C44-BE34-ED45910F88B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288" authorId="0" shapeId="0" xr:uid="{8F69C000-869D-4F7E-92F0-81D4B041441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auto</t>
        </r>
      </text>
    </comment>
    <comment ref="E288" authorId="0" shapeId="0" xr:uid="{357BDFE3-94EB-474F-9E8B-98EFC2A0AEF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Vega</t>
        </r>
      </text>
    </comment>
    <comment ref="D289" authorId="0" shapeId="0" xr:uid="{EC9E33EB-419B-4B45-8048-9BE814E8C36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E290" authorId="0" shapeId="0" xr:uid="{6B7D0BF3-1B57-4293-BB16-CA8F0F83A6F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291" authorId="0" shapeId="0" xr:uid="{BFF39676-32C7-4DEF-863A-1B2C33CB76E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furgón
</t>
        </r>
      </text>
    </comment>
    <comment ref="E291" authorId="0" shapeId="0" xr:uid="{2C1A9AA0-B45B-4F5F-8E27-63CD1C923A4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Chocolate merken
- Soprole</t>
        </r>
      </text>
    </comment>
    <comment ref="D292" authorId="0" shapeId="0" xr:uid="{52FE32A3-8189-47D7-AE86-75FEE725047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EStacionamiento</t>
        </r>
      </text>
    </comment>
    <comment ref="E292" authorId="0" shapeId="0" xr:uid="{3751E25C-4243-4AEE-916F-117A9807B3F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Saldaña-
- Quesos Villarica
- Pechuga
-  jumbo
- Paltas
- Jumbo
- Cherry
- Saldaña
</t>
        </r>
      </text>
    </comment>
    <comment ref="D293" authorId="0" shapeId="0" xr:uid="{1740FEFA-D5C2-4F33-BC07-5B43A667AC5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Vasos postres
- Flete vasos
- Bencina</t>
        </r>
      </text>
    </comment>
    <comment ref="E293" authorId="0" shapeId="0" xr:uid="{59DA3E4E-9DC6-4800-B71C-8934E5D5AC0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Jamón pizza.
</t>
        </r>
      </text>
    </comment>
    <comment ref="E295" authorId="0" shapeId="0" xr:uid="{C973DBCA-D25F-4ED9-BEC4-9AF3C43AEA3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297" authorId="0" shapeId="0" xr:uid="{F2F371A3-BEEE-4599-8CF2-F9BC9331D75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Cajas navideñas</t>
        </r>
      </text>
    </comment>
    <comment ref="E297" authorId="0" shapeId="0" xr:uid="{4C4B2328-7FC2-4020-9A7D-2D6DBDACD33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Huevos</t>
        </r>
      </text>
    </comment>
    <comment ref="E298" authorId="0" shapeId="0" xr:uid="{C9F95FB5-A6F9-4EA3-83DB-2CBBFF016B9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Soprole
</t>
        </r>
      </text>
    </comment>
    <comment ref="E299" authorId="0" shapeId="0" xr:uid="{190699AA-7D71-4E82-8B14-0E1C96DF881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Lomo cerdo
- Jumbo</t>
        </r>
      </text>
    </comment>
    <comment ref="E300" authorId="0" shapeId="0" xr:uid="{E3E5BD74-E226-4063-B201-9F7C71EB0D9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</t>
        </r>
      </text>
    </comment>
    <comment ref="E301" authorId="0" shapeId="0" xr:uid="{74598D9D-0D84-41CE-BDD4-F8255DBAA27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Camarón
- Tito Pal</t>
        </r>
      </text>
    </comment>
    <comment ref="D302" authorId="0" shapeId="0" xr:uid="{C63DF5DE-19DC-4BA9-880F-4F0C107B7B9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Sodimac
- Bencina</t>
        </r>
      </text>
    </comment>
    <comment ref="E302" authorId="0" shapeId="0" xr:uid="{33AF367D-813C-4A5D-BA1E-3E979E4EC24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E304" authorId="0" shapeId="0" xr:uid="{4013BAF5-37A2-44EE-A862-21343DFA733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Jumbo
- Unimarc
- Zapallo</t>
        </r>
      </text>
    </comment>
    <comment ref="E305" authorId="0" shapeId="0" xr:uid="{008A56CD-AC2B-42BF-9BDD-5A3285F6BB5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Tottus</t>
        </r>
      </text>
    </comment>
    <comment ref="E306" authorId="0" shapeId="0" xr:uid="{5178C659-8C22-4BE0-B77D-67A89C67A66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Ganga.
- Lider.
- Carne asado
- Jumbo</t>
        </r>
      </text>
    </comment>
    <comment ref="D307" authorId="0" shapeId="0" xr:uid="{8B8C6C3B-9DC8-4837-AE47-7B4B606B1FB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Estaciomnamientos</t>
        </r>
      </text>
    </comment>
    <comment ref="E308" authorId="0" shapeId="0" xr:uid="{18C8D576-DCFC-4B0D-8F60-1A05D9F5300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Pal.
- Queso crema
- Glucosa</t>
        </r>
      </text>
    </comment>
    <comment ref="D309" authorId="0" shapeId="0" xr:uid="{B4CF5C99-B14F-4919-9DEC-BFEE053345A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Contadora
- Pago Thiare
- Pago Joaco
- Pago yo</t>
        </r>
      </text>
    </comment>
    <comment ref="D310" authorId="0" shapeId="0" xr:uid="{BC1032D8-5F2F-4BCA-A5BD-FFA855E0442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terreno Nonguén.
- Toppers</t>
        </r>
      </text>
    </comment>
    <comment ref="E310" authorId="0" shapeId="0" xr:uid="{A3351B4D-B1F0-4459-A49D-702D7FF745C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Frutas desayuno</t>
        </r>
      </text>
    </comment>
    <comment ref="D311" authorId="0" shapeId="0" xr:uid="{5DFD9687-2D07-4988-B515-473DA042692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- Sodimac, Pino bar</t>
        </r>
      </text>
    </comment>
    <comment ref="D312" authorId="0" shapeId="0" xr:uid="{08CDD4F1-CED0-4123-8A3D-2F21C81D267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Sodimac
- Pino Bar
- Bencina</t>
        </r>
      </text>
    </comment>
    <comment ref="E312" authorId="0" shapeId="0" xr:uid="{C3BAECE8-CC35-418E-BC03-376D10F477A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Salame
- Tito Pal
- Soprole</t>
        </r>
      </text>
    </comment>
    <comment ref="E313" authorId="0" shapeId="0" xr:uid="{B3355C57-4D47-4860-9937-5CDCAE48D76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Jumbo.
- Lechuga
- Pulpo.
- Vega.
- Huevos</t>
        </r>
      </text>
    </comment>
    <comment ref="D314" authorId="0" shapeId="0" xr:uid="{53C765DF-02AA-43EA-A85F-2AD1CB15D3C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Carbón</t>
        </r>
      </text>
    </comment>
    <comment ref="E314" authorId="0" shapeId="0" xr:uid="{7BF0FB74-2B8D-4BF3-A8BA-DD720392277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Unimarc.
- Jumbo.
- Tortas Lidia
- Pan Choripanes</t>
        </r>
      </text>
    </comment>
    <comment ref="D315" authorId="0" shapeId="0" xr:uid="{BFEAE9C8-E2A9-46EA-93FA-8F83EA4301D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Garzones, animacion, parrillero.cámara 360°</t>
        </r>
      </text>
    </comment>
    <comment ref="D321" authorId="0" shapeId="0" xr:uid="{07578E95-46C0-4ED1-85A6-387469712C6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Adornos boda</t>
        </r>
      </text>
    </comment>
    <comment ref="E321" authorId="0" shapeId="0" xr:uid="{2FDA9175-2ABD-4DD9-80DE-7DBC2DB0A5C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Pescaderia
- Saldaña</t>
        </r>
      </text>
    </comment>
    <comment ref="D322" authorId="0" shapeId="0" xr:uid="{607B7294-D30C-4ECB-B0F1-8ED31EFB869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</t>
        </r>
      </text>
    </comment>
    <comment ref="D323" authorId="0" shapeId="0" xr:uid="{C6BF3630-0AD5-4284-83F7-22CCEF9001E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Alargadores para mueblecocina.
- Madera arco novios</t>
        </r>
      </text>
    </comment>
    <comment ref="E324" authorId="0" shapeId="0" xr:uid="{BED3B0D7-AE9E-479F-B729-FCF81C8BD59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Mani</t>
        </r>
      </text>
    </comment>
    <comment ref="D325" authorId="0" shapeId="0" xr:uid="{7A809FA7-4791-4C00-BF08-7FC38FD39E3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 
Joshua
Lily
Araceli</t>
        </r>
      </text>
    </comment>
    <comment ref="D326" authorId="0" shapeId="0" xr:uid="{427A97D4-DEC7-4B45-A975-DF7FDDFC874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326" authorId="0" shapeId="0" xr:uid="{EC1CEBA2-8C3C-4365-9323-32DCC045205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Lámina de azúcar
</t>
        </r>
      </text>
    </comment>
    <comment ref="D327" authorId="0" shapeId="0" xr:uid="{2819C334-42B4-46C8-BDDF-E55013BAC70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Bar
- Logo Bar
- Brasero con logo
- Madera bar.
- Cepillado madera</t>
        </r>
      </text>
    </comment>
    <comment ref="D328" authorId="0" shapeId="0" xr:uid="{6551006B-4BC0-421C-AE99-D8398F470D4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D329" authorId="0" shapeId="0" xr:uid="{6078566C-57A6-4DA8-8F1B-69FC9587D49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Porta Vela Metal</t>
        </r>
      </text>
    </comment>
    <comment ref="D330" authorId="0" shapeId="0" xr:uid="{5B416498-A8F8-4BC9-81D4-736E8CE53C1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Tabla de sal.
- Gráfica camión</t>
        </r>
      </text>
    </comment>
    <comment ref="E330" authorId="0" shapeId="0" xr:uid="{ED3A4F18-C309-4243-9DDC-50CF440371F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
- Acuenta
- Molino Fuentes</t>
        </r>
      </text>
    </comment>
    <comment ref="D331" authorId="0" shapeId="0" xr:uid="{09CE2710-2279-4E21-A101-02617841141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Cotizaciones previsionles
- Tela boda
- Bencina</t>
        </r>
      </text>
    </comment>
    <comment ref="E332" authorId="0" shapeId="0" xr:uid="{F59104D7-ED5E-403F-B8D5-AA6F90ABE06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Manjar</t>
        </r>
      </text>
    </comment>
    <comment ref="D333" authorId="0" shapeId="0" xr:uid="{3AF0C7D2-58EF-43BA-B5BB-8D77A55FDA2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Madera bar
</t>
        </r>
      </text>
    </comment>
    <comment ref="E333" authorId="0" shapeId="0" xr:uid="{B3FE94B9-7AB9-4762-BACD-55B7C5801A1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Acuenta</t>
        </r>
      </text>
    </comment>
    <comment ref="D334" authorId="0" shapeId="0" xr:uid="{E6E001FE-A93E-46CF-9253-97DAEA400E8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Tornillo lenteja
- Arriendo Cámara 360
</t>
        </r>
      </text>
    </comment>
    <comment ref="E334" authorId="0" shapeId="0" xr:uid="{21088FC1-F4D2-4E51-A3FE-36C68B7945B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Tortas Lidia</t>
        </r>
      </text>
    </comment>
    <comment ref="D335" authorId="0" shapeId="0" xr:uid="{7D6FAFE2-8FFF-4821-A6BD-10DB9F24CD0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Easy.
- Bencina.
- Pino Bar.
</t>
        </r>
      </text>
    </comment>
    <comment ref="E335" authorId="0" shapeId="0" xr:uid="{F767E311-6992-4C4F-BB14-72199BF5DED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Chocolate Merken
- Jumbo.
- Kamadi</t>
        </r>
      </text>
    </comment>
    <comment ref="D336" authorId="0" shapeId="0" xr:uid="{31347958-9998-469D-A5B1-1CB00FBA515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Barniz
- Pino
- Jugos</t>
        </r>
      </text>
    </comment>
    <comment ref="E336" authorId="0" shapeId="0" xr:uid="{BAD6922C-C2B9-4601-8C81-46F182FA600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Totus
     Lomo vetado y pollo</t>
        </r>
      </text>
    </comment>
    <comment ref="D337" authorId="0" shapeId="0" xr:uid="{8188AF41-426A-4457-B30B-E1E803A893C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Carbón</t>
        </r>
      </text>
    </comment>
    <comment ref="E337" authorId="0" shapeId="0" xr:uid="{E0DB37D5-BBB4-4E4F-8B2E-3BF68B2D255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El Peumo</t>
        </r>
      </text>
    </comment>
    <comment ref="D338" authorId="0" shapeId="0" xr:uid="{88EFFFEE-DD0C-42D6-B7DE-0224240E841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Flores
- Pulpo</t>
        </r>
      </text>
    </comment>
    <comment ref="E338" authorId="0" shapeId="0" xr:uid="{A2214924-9793-4C64-9615-B142B7DA1C7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Kamadi
- Tito pal
- Carnes JD
- Queso cabra
- Jumbo
- Pechugas
</t>
        </r>
      </text>
    </comment>
    <comment ref="D339" authorId="0" shapeId="0" xr:uid="{CB4BB6FA-F6E1-4786-98D2-E5977C875D1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Compras matrimonio</t>
        </r>
      </text>
    </comment>
    <comment ref="D341" authorId="0" shapeId="0" xr:uid="{EAFF3973-798F-4AEA-8CEB-CF724A285BB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Estacioamiento
- Pétroleo
- Jumbo</t>
        </r>
      </text>
    </comment>
    <comment ref="E341" authorId="0" shapeId="0" xr:uid="{05A88E98-E8E3-443D-A1EB-76EA67811F4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Jumbo.
- Café</t>
        </r>
      </text>
    </comment>
    <comment ref="D342" authorId="0" shapeId="0" xr:uid="{C8CAA801-D862-4179-9020-85EAB7C762B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Manteles.
- Sueldos garzones</t>
        </r>
      </text>
    </comment>
    <comment ref="D343" authorId="0" shapeId="0" xr:uid="{8DBE95DB-3107-4EF7-9D71-B791F8B6340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 Thiare y Rocio
- Sillas novios
- Pago Nizza.
- Luces Cristobal</t>
        </r>
      </text>
    </comment>
    <comment ref="E343" authorId="0" shapeId="0" xr:uid="{85629E7D-6476-4479-8DD1-85B1CC01A62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Jumbo</t>
        </r>
      </text>
    </comment>
    <comment ref="D344" authorId="0" shapeId="0" xr:uid="{781F8ADF-D26F-4B1F-A5E1-E41BBB9FD6A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Copec
- Casa Mueblista
- Bencina
</t>
        </r>
      </text>
    </comment>
    <comment ref="D347" authorId="0" shapeId="0" xr:uid="{FB378A13-C9AF-443D-A90E-2F109E592D5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sueldos Vicente, Javiera.</t>
        </r>
      </text>
    </comment>
    <comment ref="E349" authorId="0" shapeId="0" xr:uid="{E8F422AE-350E-498D-908A-0D2C66E70AF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Molino Fuentes</t>
        </r>
      </text>
    </comment>
    <comment ref="B350" authorId="0" shapeId="0" xr:uid="{2272EEFD-FD10-45D3-BF0F-48924887B3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Empamadas durango</t>
        </r>
      </text>
    </comment>
    <comment ref="D350" authorId="0" shapeId="0" xr:uid="{B01CFB9E-D342-41F0-BA42-C824C1B7FA5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E350" authorId="0" shapeId="0" xr:uid="{FA941AFF-4BB7-4233-AE0D-3C0B7CE6582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E351" authorId="0" shapeId="0" xr:uid="{46F9D014-C0B6-4849-84FF-FAEF00FD548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Condensada</t>
        </r>
      </text>
    </comment>
    <comment ref="E356" authorId="0" shapeId="0" xr:uid="{24AC534B-5E5E-4FEC-A514-8EEE7DE3260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Aceitunas
- Yogurt griego</t>
        </r>
      </text>
    </comment>
    <comment ref="D357" authorId="0" shapeId="0" xr:uid="{1BB7A351-EC68-45C0-9226-35F3B3B4BD3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- Guantes de Nitrilo</t>
        </r>
      </text>
    </comment>
    <comment ref="E357" authorId="0" shapeId="0" xr:uid="{A9FBA659-F162-4F11-B97E-BB45E2738B6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</t>
        </r>
      </text>
    </comment>
    <comment ref="D358" authorId="0" shapeId="0" xr:uid="{09D19A07-D693-43F8-B5BB-722F9D51BA0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El Cotillón.
- Vanni.
- Giorgio
- Gas Casa</t>
        </r>
      </text>
    </comment>
    <comment ref="E358" authorId="0" shapeId="0" xr:uid="{A6951379-1DB4-441D-8AAE-5824119CB55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Aceitunas.
- Saldaña.
- Huevos.
- Piñas asado Gloria.
- Tottus
- Jumbo</t>
        </r>
      </text>
    </comment>
    <comment ref="D359" authorId="0" shapeId="0" xr:uid="{7A519737-8023-4D92-8FF8-0D26B6DCDEA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Pendones</t>
        </r>
      </text>
    </comment>
    <comment ref="E359" authorId="0" shapeId="0" xr:uid="{5F03CD8C-9E58-49C6-B5AE-EC60527965E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y pollo Tottus
- Soprole</t>
        </r>
      </text>
    </comment>
    <comment ref="D360" authorId="0" shapeId="0" xr:uid="{8B9868C8-3BF6-455B-8FAF-A979347FFE0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BoAré
- Sueldos</t>
        </r>
      </text>
    </comment>
    <comment ref="E360" authorId="0" shapeId="0" xr:uid="{C7D5F94D-D9D9-4304-9147-00999DC74FA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Morrón Verde
- Choclo 
- Camarones</t>
        </r>
      </text>
    </comment>
    <comment ref="D361" authorId="0" shapeId="0" xr:uid="{4730CD13-4E10-4743-BD5A-F67F0E01447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Logos BoAré Asados
- Banderitas mondadientes.
- Carbón.
- Bencina</t>
        </r>
      </text>
    </comment>
    <comment ref="E361" authorId="0" shapeId="0" xr:uid="{A171C3AB-6CE8-4605-A46A-47995D4AA72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Levadura.
- Molino Fuentes</t>
        </r>
      </text>
    </comment>
    <comment ref="D362" authorId="0" shapeId="0" xr:uid="{645FAC70-7C4F-4424-800A-898E44948CD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Cajas Plasticas Lider
- Delantales fiestas patrias</t>
        </r>
      </text>
    </comment>
    <comment ref="E362" authorId="0" shapeId="0" xr:uid="{3E7A9AD4-6377-43CD-B473-81DA6ED5DB1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 Lidia</t>
        </r>
      </text>
    </comment>
    <comment ref="E363" authorId="0" shapeId="0" xr:uid="{ADDA1AF0-C7C2-4A85-86A8-8E46E1FA2AE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Pal.
- Huevos.
- Longanizas</t>
        </r>
      </text>
    </comment>
    <comment ref="E364" authorId="0" shapeId="0" xr:uid="{0A694884-B1DA-48C3-AA15-1F2D52C8068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Jd.
- Alvi</t>
        </r>
      </text>
    </comment>
    <comment ref="B365" authorId="0" shapeId="0" xr:uid="{31198A19-D4AE-427B-A479-D4519D7B897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parque del recuerdo</t>
        </r>
      </text>
    </comment>
    <comment ref="D365" authorId="0" shapeId="0" xr:uid="{34E0D6B9-62DF-4D8C-8CC9-46B4F9DC28A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Auto.
- Garzones
- Bencina camión.
</t>
        </r>
      </text>
    </comment>
    <comment ref="E365" authorId="0" shapeId="0" xr:uid="{D84AE2B5-B07B-4E14-BBBA-67FACE06164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Gloria</t>
        </r>
      </text>
    </comment>
    <comment ref="B367" authorId="0" shapeId="0" xr:uid="{DD62A3DD-AEFE-4D7E-9DA4-0DFF53DB2A2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Emp. Durango</t>
        </r>
      </text>
    </comment>
    <comment ref="D368" authorId="0" shapeId="0" xr:uid="{FFDBBF1E-6F55-46BE-90EF-651EFFFF667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Furgón</t>
        </r>
      </text>
    </comment>
    <comment ref="E368" authorId="0" shapeId="0" xr:uid="{A55A49CB-7035-4B05-A92C-989CBF143043}">
      <text>
        <r>
          <rPr>
            <b/>
            <sz val="9"/>
            <color indexed="81"/>
            <rFont val="Tahoma"/>
            <family val="2"/>
          </rPr>
          <t>BoAré:
- Carne
 - Panaderia
- Pulpo
- Saldaña
- Jugos</t>
        </r>
      </text>
    </comment>
    <comment ref="B369" authorId="0" shapeId="0" xr:uid="{B72EFA15-5B63-45EB-AD94-C243EA0CD2B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Wanda</t>
        </r>
      </text>
    </comment>
    <comment ref="E369" authorId="0" shapeId="0" xr:uid="{F1D806E2-DDED-4C87-AD92-BF0A35A8CE1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Wanda.
- Tito Pal
- Longanizas 
- Saldaña</t>
        </r>
      </text>
    </comment>
    <comment ref="E370" authorId="0" shapeId="0" xr:uid="{4BC34625-924D-48EF-83F2-D1E3D46C4CC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Levadura</t>
        </r>
      </text>
    </comment>
    <comment ref="D371" authorId="0" shapeId="0" xr:uid="{CCA9DA7A-981C-4B47-8ABD-C0BD1B971D2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Pendón asados
- Bencina.
- Almapack</t>
        </r>
      </text>
    </comment>
    <comment ref="E371" authorId="0" shapeId="0" xr:uid="{1B9D88F8-8D53-4369-B2BC-467347730E4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Huevos.
- Harina.
- Vino.
</t>
        </r>
      </text>
    </comment>
    <comment ref="D375" authorId="0" shapeId="0" xr:uid="{8E3836CF-F513-4A2A-91DF-4C1E39E6C72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Base Celular
- Gas Boaré</t>
        </r>
      </text>
    </comment>
    <comment ref="E375" authorId="0" shapeId="0" xr:uid="{E48E203C-D5CA-418F-8B90-3C2AB23F215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Salmón.
- TitoPal
- Tottus.
- Nuevo Amanecer
- Jumbo.
- Quesos Villarrica</t>
        </r>
      </text>
    </comment>
    <comment ref="D376" authorId="0" shapeId="0" xr:uid="{AAF8CCA9-4BE3-40E5-A103-351DBD8B0C7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Pagos Pavel, Karin.
- Arriendo sillas.
- Arriendo mesas</t>
        </r>
      </text>
    </comment>
    <comment ref="D378" authorId="0" shapeId="0" xr:uid="{947B02E8-6C32-4FB1-A7BB-BFF002EA2CC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Garzones Manoli
</t>
        </r>
      </text>
    </comment>
    <comment ref="D379" authorId="0" shapeId="0" xr:uid="{6E03B485-14E2-47E9-9BD4-5BAA0E5D338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Combustible camión.
- Pago Valeska.
- Pago Cata
- Pago Vicente</t>
        </r>
      </text>
    </comment>
    <comment ref="E379" authorId="0" shapeId="0" xr:uid="{41D59C75-99B8-445A-834F-5209F641DD1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Huevos.
- Queso.
- Carne empanadas
- Tostaduria Saldaña
</t>
        </r>
      </text>
    </comment>
    <comment ref="D380" authorId="0" shapeId="0" xr:uid="{30D6762F-0F37-4E8B-9CB1-EB37BF7A99B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Vasos Mote
- Flores</t>
        </r>
      </text>
    </comment>
    <comment ref="E380" authorId="0" shapeId="0" xr:uid="{985A6BBA-C84E-4424-9358-93887A9DB18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Soprole.
- Tito pal
- Saldaña
- Carne tottus.
- Pollo tottus
- Carnes JD</t>
        </r>
      </text>
    </comment>
    <comment ref="B381" authorId="0" shapeId="0" xr:uid="{1E6987BC-277E-4726-955E-307154A111E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"La Araucana"</t>
        </r>
      </text>
    </comment>
    <comment ref="D381" authorId="0" shapeId="0" xr:uid="{0CC26F8B-F7DA-4F75-8A2A-FAADBE28A62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Mesas plegables</t>
        </r>
      </text>
    </comment>
    <comment ref="E381" authorId="0" shapeId="0" xr:uid="{720F6870-C3D2-4C69-A692-8493899C624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Compra pan y aceite asado.
- Carnes JD</t>
        </r>
      </text>
    </comment>
    <comment ref="D382" authorId="0" shapeId="0" xr:uid="{B8567A2C-219A-4ABE-AE74-2D88C3BB57B6}">
      <text>
        <r>
          <rPr>
            <b/>
            <sz val="9"/>
            <color indexed="81"/>
            <rFont val="Tahoma"/>
            <family val="2"/>
          </rPr>
          <t xml:space="preserve">BoAré:
</t>
        </r>
        <r>
          <rPr>
            <sz val="9"/>
            <color indexed="81"/>
            <rFont val="Tahoma"/>
            <family val="2"/>
          </rPr>
          <t>- Mesas plásticas Sodimac
- Pago Garzones.
- Pago Dream House
- Bencina</t>
        </r>
      </text>
    </comment>
    <comment ref="E382" authorId="0" shapeId="0" xr:uid="{98BD9488-5CDB-456A-97D1-458A53BEDA8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</t>
        </r>
      </text>
    </comment>
    <comment ref="D383" authorId="0" shapeId="0" xr:uid="{EBA83A99-AF8C-494B-9F5A-0D2650DEB0A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Basurero y vasos</t>
        </r>
      </text>
    </comment>
    <comment ref="D385" authorId="0" shapeId="0" xr:uid="{2CAC8AA2-1092-4547-A10C-9DD08B337EE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boare</t>
        </r>
      </text>
    </comment>
    <comment ref="E385" authorId="0" shapeId="0" xr:uid="{5557097C-F6C0-4D20-AFAD-AFC8E0AD062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Sales De Sabelle
- Levadura
- Vini blanco-
- Tottus</t>
        </r>
      </text>
    </comment>
    <comment ref="D391" authorId="0" shapeId="0" xr:uid="{920E72A9-3257-41AF-92D9-C83E301091B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Maquiver
- Bencina</t>
        </r>
      </text>
    </comment>
    <comment ref="E391" authorId="0" shapeId="0" xr:uid="{D00710B6-4067-4F5E-9FB5-F5B5F059CDA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Carbón</t>
        </r>
      </text>
    </comment>
    <comment ref="E393" authorId="0" shapeId="0" xr:uid="{4AFD9606-E441-42F7-8905-5CE5C7689EA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Longanizas
- Tito Pal.
- JD
- Pan.
- Salsa tomate
- Jumbo</t>
        </r>
      </text>
    </comment>
    <comment ref="B394" authorId="0" shapeId="0" xr:uid="{0639A45A-8AA5-4E18-A5D8-C20E7CC4BCA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Natalia</t>
        </r>
      </text>
    </comment>
    <comment ref="D394" authorId="0" shapeId="0" xr:uid="{97C50914-F203-4D76-BBD9-28D6A7D59C1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Cepillo Parrilla.
- Flete Parrilla</t>
        </r>
      </text>
    </comment>
    <comment ref="D396" authorId="0" shapeId="0" xr:uid="{9F3BAF2A-747E-4D08-91D0-5515F9B85AE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Estacionameinto</t>
        </r>
      </text>
    </comment>
    <comment ref="E397" authorId="0" shapeId="0" xr:uid="{5981F808-4178-4458-A31C-DA7E7DEFB8B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Soprole.</t>
        </r>
      </text>
    </comment>
    <comment ref="D398" authorId="0" shapeId="0" xr:uid="{D2E6FD84-D30A-4B3F-80EF-6A91A176D31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</t>
        </r>
      </text>
    </comment>
    <comment ref="E398" authorId="0" shapeId="0" xr:uid="{C215CA0B-7A0C-4E75-84B3-D2D09A88611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Tortas Lidia</t>
        </r>
      </text>
    </comment>
    <comment ref="D399" authorId="0" shapeId="0" xr:uid="{9A0DC2B4-EB3A-4507-A35A-D27CE2CDBFB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
- Almapack.
- Cocinilla.
- Focos Halógenos</t>
        </r>
      </text>
    </comment>
    <comment ref="E399" authorId="0" shapeId="0" xr:uid="{87FFE914-6A1F-4E90-8BDE-66F13E09F5F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Unimarc.
- Jumbo</t>
        </r>
      </text>
    </comment>
    <comment ref="B400" authorId="0" shapeId="0" xr:uid="{AFC3E35D-94FE-43EE-A1A5-9BF204E23C3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Feria 
- Pedido</t>
        </r>
      </text>
    </comment>
    <comment ref="D401" authorId="0" shapeId="0" xr:uid="{9522AD43-AF30-4608-A242-8F278B2BED5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D402" authorId="0" shapeId="0" xr:uid="{C337616B-5C08-4F88-90C0-105E4A9D71D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Petróleo.
- Imposiciones.</t>
        </r>
      </text>
    </comment>
    <comment ref="D403" authorId="0" shapeId="0" xr:uid="{CF5EA3BD-2E61-4694-9CDA-0FB12E2F0C7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Cajas plásticas
- El Volcám (alzadores).
- Flores plásticas.</t>
        </r>
      </text>
    </comment>
    <comment ref="E403" authorId="0" shapeId="0" xr:uid="{F21D776B-2CAF-4070-BF38-5934195F43A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Harinas</t>
        </r>
      </text>
    </comment>
    <comment ref="E404" authorId="0" shapeId="0" xr:uid="{18D67F29-01D0-4CC0-AB00-183C59D9A0B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Tottus
- Soprole.
- Huevos.
- Carne Tottus</t>
        </r>
      </text>
    </comment>
    <comment ref="D406" authorId="0" shapeId="0" xr:uid="{95C2D47B-59B8-4CD8-8831-0CED41D6892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Giorgio
- Chaqueta chef
- Almapack
- Pago espejo mágíco.
- Pagos Arriendo Nonguén Matrimonio
</t>
        </r>
      </text>
    </comment>
    <comment ref="E406" authorId="0" shapeId="0" xr:uid="{415298EF-C85E-490E-B6B2-0E67B74FAEA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molida Tottus</t>
        </r>
      </text>
    </comment>
    <comment ref="D407" authorId="0" shapeId="0" xr:uid="{E8C4EEDB-76E9-4DFF-A7E0-39A3831C0E3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Kit  instalación campana extractora</t>
        </r>
      </text>
    </comment>
    <comment ref="D408" authorId="0" shapeId="0" xr:uid="{7D946359-9E3B-4656-BF2F-8303AF3AAAC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Accesorios campana cocina,
- Instalación campana.
- Pago arriendo dream house
- </t>
        </r>
      </text>
    </comment>
    <comment ref="E408" authorId="0" shapeId="0" xr:uid="{015D64FD-3325-4450-9CB2-05E49886591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Tottus
- Tottus</t>
        </r>
      </text>
    </comment>
    <comment ref="D410" authorId="0" shapeId="0" xr:uid="{654E3BBA-9683-4FB9-B5D1-17BD3F2E38F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Aluminio ángulos.
- Bandejas horno</t>
        </r>
      </text>
    </comment>
    <comment ref="D411" authorId="0" shapeId="0" xr:uid="{C65BF892-F058-4F22-B764-30BD823CECFE}">
      <text>
        <r>
          <rPr>
            <b/>
            <sz val="9"/>
            <color indexed="81"/>
            <rFont val="Tahoma"/>
            <family val="2"/>
          </rPr>
          <t>BoAré
- Estacionamiento
- Pago Thiare.
- Pago Joaco.
- Bencina</t>
        </r>
      </text>
    </comment>
    <comment ref="D412" authorId="0" shapeId="0" xr:uid="{FE626383-A96B-45F1-9612-6211F72FF6B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D413" authorId="0" shapeId="0" xr:uid="{C9AF774F-B786-4AAA-9F6C-7FD46F6699D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Uber Joshua</t>
        </r>
      </text>
    </comment>
    <comment ref="E413" authorId="0" shapeId="0" xr:uid="{6B35BB31-CBD3-4E5D-AA05-CA7F212120A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Aceite Oliva</t>
        </r>
      </text>
    </comment>
    <comment ref="E414" authorId="0" shapeId="0" xr:uid="{26414C9D-9A3E-41AF-AB45-EFF9C7C78EE3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Huevos.
- Leche Evaporada.
- Queso crema</t>
        </r>
      </text>
    </comment>
    <comment ref="D416" authorId="0" shapeId="0" xr:uid="{23D1EB38-0169-4F68-926A-D680F9DCA50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Correa auto
- Mecánico</t>
        </r>
      </text>
    </comment>
    <comment ref="E416" authorId="0" shapeId="0" xr:uid="{1215C42A-7B85-493D-877D-4BF10BEF772B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Tottus
- Jumbo
- Lider
- Ganga</t>
        </r>
      </text>
    </comment>
    <comment ref="D417" authorId="0" shapeId="0" xr:uid="{4BD83870-31CB-44C2-8DED-76E56BF1745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417" authorId="0" shapeId="0" xr:uid="{5688D332-E3BA-4082-8F84-D3CF4104853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</t>
        </r>
      </text>
    </comment>
    <comment ref="D418" authorId="0" shapeId="0" xr:uid="{5FB18B30-235A-4E44-A33F-C7E08E72D28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Dream House</t>
        </r>
      </text>
    </comment>
    <comment ref="E418" authorId="0" shapeId="0" xr:uid="{7C90A111-F45C-4A10-B498-442C29CECDF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
- Vino Blanco
- Tito Pal 
- Jumbo</t>
        </r>
      </text>
    </comment>
    <comment ref="D419" authorId="0" shapeId="0" xr:uid="{3129DCD6-72D0-440C-A0C5-2EE334AB0D5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Sueldos
- Joaco
- Thiare
- Paola
- Dj
- Tostaduria Saldaña
- Gidi</t>
        </r>
      </text>
    </comment>
    <comment ref="D420" authorId="0" shapeId="0" xr:uid="{21E69175-3E1B-4717-A22E-0FA8C26FF05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Detergente de loza</t>
        </r>
      </text>
    </comment>
    <comment ref="E420" authorId="0" shapeId="0" xr:uid="{2A729594-4B06-48DB-A4E7-64074510B73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 y carne Tottus</t>
        </r>
      </text>
    </comment>
    <comment ref="B421" authorId="0" shapeId="0" xr:uid="{0EAB0EFA-AE33-488C-B946-40E15F2CBF4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Tortas vecina</t>
        </r>
      </text>
    </comment>
    <comment ref="E421" authorId="0" shapeId="0" xr:uid="{809E32F4-048C-40C4-8E24-D823DF4BCB4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- 2 mallas de cebollla</t>
        </r>
      </text>
    </comment>
    <comment ref="E426" authorId="0" shapeId="0" xr:uid="{1498C256-4A23-4F84-8E63-CDB123EAC85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
- Leche condensada</t>
        </r>
      </text>
    </comment>
    <comment ref="E427" authorId="0" shapeId="0" xr:uid="{943AA325-8925-4BEE-90D0-0D3FE36A456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
-Lider
- Saldaña</t>
        </r>
      </text>
    </comment>
    <comment ref="D430" authorId="0" shapeId="0" xr:uid="{96AA0EFD-0C4B-4F11-B1A9-C81CCD4EBBD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430" authorId="0" shapeId="0" xr:uid="{12F33964-D85E-4962-8EB3-450FBCD656A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Sueldo </t>
        </r>
      </text>
    </comment>
    <comment ref="B434" authorId="0" shapeId="0" xr:uid="{CC342D5C-2733-4F3D-8AE1-F9382C71B77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Empanadas Durango
</t>
        </r>
      </text>
    </comment>
    <comment ref="E434" authorId="0" shapeId="0" xr:uid="{4CD9625F-BE44-48D5-847E-E1785BCDF38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Harina, Carne para mechada, Pechuga</t>
        </r>
      </text>
    </comment>
    <comment ref="D435" authorId="0" shapeId="0" xr:uid="{40517703-C381-489D-987C-48EC5BDCAA9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Imposiciones Lily</t>
        </r>
      </text>
    </comment>
    <comment ref="D436" authorId="0" shapeId="0" xr:uid="{D2F42BCF-329D-4A2D-829C-674E4887A58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Ruedas congelador.
- Bencina</t>
        </r>
      </text>
    </comment>
    <comment ref="E436" authorId="0" shapeId="0" xr:uid="{21C8CBCA-1B8F-456C-98C9-411ACC16A0F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Ganga.
- Saldaña.
- Queso.
- Carbón Firebull.</t>
        </r>
      </text>
    </comment>
    <comment ref="E437" authorId="0" shapeId="0" xr:uid="{EAD86B94-9BB0-45F2-843B-5AA40918E89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Huevos.
- Tito Pal.
- Queso crema.
- Camarones.
- Aceitunas.
- Salame.
- Carne Asado Susan.
- Pechuga.
- Estacionamiento.
- Gas</t>
        </r>
      </text>
    </comment>
    <comment ref="B438" authorId="0" shapeId="0" xr:uid="{BA67DE64-819F-448C-9737-976C767972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Susan
- Empanadas Durango</t>
        </r>
      </text>
    </comment>
    <comment ref="D438" authorId="0" shapeId="0" xr:uid="{4CC26075-77AA-497F-835E-BFF94CC4BA2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Iniciador de fuego</t>
        </r>
      </text>
    </comment>
    <comment ref="E438" authorId="0" shapeId="0" xr:uid="{01D81999-76AE-4EA4-A466-6450E119021E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
- Vino</t>
        </r>
      </text>
    </comment>
    <comment ref="D439" authorId="0" shapeId="0" xr:uid="{69F313E4-9B33-4475-9BC8-4E916365CFB5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441" authorId="0" shapeId="0" xr:uid="{02B1C170-2D4E-4612-89EF-EC49047F031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442" authorId="0" shapeId="0" xr:uid="{47570288-48B3-42EA-A6E5-AE07CD77552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Soprole
- Almapack</t>
        </r>
      </text>
    </comment>
    <comment ref="E444" authorId="0" shapeId="0" xr:uid="{67F4D9B8-528F-4EB6-8B13-C8C1A076884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
- Queso Crema.
- Jumbo.
- Saldaña</t>
        </r>
      </text>
    </comment>
    <comment ref="D445" authorId="0" shapeId="0" xr:uid="{6FC8E4CF-7035-4FF5-A314-0DF69F991CE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Mangas plasticas
- Café
- Bencina</t>
        </r>
      </text>
    </comment>
    <comment ref="E445" authorId="0" shapeId="0" xr:uid="{C3AF76B1-E652-42C2-ABC4-1301FA0C9A6A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Topper
- Jumbo
- Tortas Lidya
</t>
        </r>
      </text>
    </comment>
    <comment ref="E446" authorId="0" shapeId="0" xr:uid="{5BBA2D27-9D9C-4BA9-9BD1-639C6E6D6D68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Jumbo.
- Unimarc.
- Miel</t>
        </r>
      </text>
    </comment>
    <comment ref="D448" authorId="0" shapeId="0" xr:uid="{B9B9F4F6-07CF-4D24-81E7-EF28BBB5AA7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</t>
        </r>
      </text>
    </comment>
    <comment ref="E448" authorId="0" shapeId="0" xr:uid="{0FE9375C-8FE6-4C8A-90AE-33BA2C6BC0FF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Coco rayado
- Unimarc</t>
        </r>
      </text>
    </comment>
    <comment ref="D449" authorId="0" shapeId="0" xr:uid="{05891F02-34FE-4C67-81E7-7F981CE7C75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Estacionamientos</t>
        </r>
      </text>
    </comment>
    <comment ref="E449" authorId="0" shapeId="0" xr:uid="{DF0BA63E-E5F5-4DB7-839D-36BCD4CAE46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Stevia.
- Soprole
- Café Cubano</t>
        </r>
      </text>
    </comment>
    <comment ref="D450" authorId="0" shapeId="0" xr:uid="{FA527C34-73C9-40F1-9C45-0C2B84E1A884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Estacionamiento</t>
        </r>
      </text>
    </comment>
    <comment ref="E450" authorId="0" shapeId="0" xr:uid="{F8BB97D5-F75A-41A6-98F5-C8EDB91212D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
- Flores
- Lechugas.
- Pechugas
- Chocolate Merkén</t>
        </r>
      </text>
    </comment>
    <comment ref="E451" authorId="0" shapeId="0" xr:uid="{38F162BF-E3CD-40A1-B4C2-19299F3EC8D9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Huevos.
- Harina.
- Tito Pal.
- Tottus.</t>
        </r>
      </text>
    </comment>
    <comment ref="D452" authorId="0" shapeId="0" xr:uid="{51E0793F-62A3-4D0E-B10D-6CFF1C64864C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garzones
- Bencina.
</t>
        </r>
      </text>
    </comment>
    <comment ref="E452" authorId="0" shapeId="0" xr:uid="{722A5463-216F-4BC3-B69B-33B1DD2ED13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JUMBO
- Flores secas
- Abrillantador.
- Galletas Champaña</t>
        </r>
      </text>
    </comment>
    <comment ref="D454" authorId="0" shapeId="0" xr:uid="{FDBBD29C-01F5-4137-AFA9-D408AE372761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
- Mantenció Cuenta</t>
        </r>
      </text>
    </comment>
    <comment ref="E455" authorId="0" shapeId="0" xr:uid="{76DB8E9A-1715-4E54-87DC-02B96546D9D2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Negocio
- Jumbo.</t>
        </r>
      </text>
    </comment>
    <comment ref="D456" authorId="0" shapeId="0" xr:uid="{90820888-AFCD-4AFB-855E-338A02203676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- El Volcán.
</t>
        </r>
      </text>
    </comment>
    <comment ref="E456" authorId="0" shapeId="0" xr:uid="{F6D23736-64BC-4306-84EB-2AFC3735494D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condensada.
- Vino empanadas</t>
        </r>
      </text>
    </comment>
    <comment ref="D46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46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Galletas Oreo
</t>
        </r>
      </text>
    </comment>
    <comment ref="D46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D46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</t>
        </r>
      </text>
    </comment>
    <comment ref="E466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- 2 Zapallos.</t>
        </r>
      </text>
    </comment>
    <comment ref="E467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Jaivas.
- Queso</t>
        </r>
      </text>
    </comment>
    <comment ref="E470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Crema</t>
        </r>
      </text>
    </comment>
    <comment ref="D472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472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Chancaca</t>
        </r>
      </text>
    </comment>
    <comment ref="E474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478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479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B480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Muestra Monserrat</t>
        </r>
      </text>
    </comment>
    <comment ref="E481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Jumbo</t>
        </r>
      </text>
    </comment>
    <comment ref="D483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</t>
        </r>
      </text>
    </comment>
    <comment ref="D484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Boaré</t>
        </r>
      </text>
    </comment>
    <comment ref="E48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Pechuga.
- Tito Pal.
- Queso.
- Jamón</t>
        </r>
      </text>
    </comment>
    <comment ref="D490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</t>
        </r>
      </text>
    </comment>
    <comment ref="D49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497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E497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Harina.</t>
        </r>
      </text>
    </comment>
    <comment ref="D498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Ralmi
-Bencina</t>
        </r>
      </text>
    </comment>
    <comment ref="E49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Zapallo</t>
        </r>
      </text>
    </comment>
    <comment ref="D49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 Lyli.
- Sueldo Vicente</t>
        </r>
      </text>
    </comment>
    <comment ref="E501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Aceite
- Galletas de champagne</t>
        </r>
      </text>
    </comment>
    <comment ref="E502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Vanni
- Cajas vasos postres
- Lider</t>
        </r>
      </text>
    </comment>
    <comment ref="D503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503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Crema Soprole</t>
        </r>
      </text>
    </comment>
    <comment ref="D505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Toallas Nova: Jumbo</t>
        </r>
      </text>
    </comment>
    <comment ref="E505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Mostacilla chocolate</t>
        </r>
      </text>
    </comment>
    <comment ref="E506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Chocolate Merkén</t>
        </r>
      </text>
    </comment>
    <comment ref="D508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Lider</t>
        </r>
      </text>
    </comment>
    <comment ref="E508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-Alvi.
- Ganga.
- Huevos.
- Lider.</t>
        </r>
      </text>
    </comment>
    <comment ref="E509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evaporada</t>
        </r>
      </text>
    </comment>
    <comment ref="D510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Madera</t>
        </r>
      </text>
    </comment>
    <comment ref="E510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Camarones
- Chancaca.
- Posta negra</t>
        </r>
      </text>
    </comment>
    <comment ref="E511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pal.
- Lechuga.
- Chocolate Merkén</t>
        </r>
      </text>
    </comment>
    <comment ref="D512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512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Pan Toscano.</t>
        </r>
      </text>
    </comment>
    <comment ref="B513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Desayuno estadio Árabe
</t>
        </r>
      </text>
    </comment>
    <comment ref="D515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E516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Crema</t>
        </r>
      </text>
    </comment>
    <comment ref="D519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Toalla Nova.
- Bencina</t>
        </r>
      </text>
    </comment>
    <comment ref="E519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-Tottus.
- Levadura.
- Yogurt griego</t>
        </r>
      </text>
    </comment>
    <comment ref="D520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Gramera</t>
        </r>
      </text>
    </comment>
    <comment ref="E520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Pulpa para hamburguesas
- Jamon para pizza
- Lomo liso, roast beef.</t>
        </r>
      </text>
    </comment>
    <comment ref="D521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Aceitero Ali Express</t>
        </r>
      </text>
    </comment>
    <comment ref="E52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Aceitunas.
- Tomates Cherry.
- Nuces.
- Harina</t>
        </r>
      </text>
    </comment>
    <comment ref="B52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Mauro Copec
- Nathaly Hospital regional</t>
        </r>
      </text>
    </comment>
    <comment ref="D523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BoAré
- Estacionamiento</t>
        </r>
      </text>
    </comment>
    <comment ref="E523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Café Haití</t>
        </r>
      </text>
    </comment>
    <comment ref="B524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Leslie La Araucana</t>
        </r>
      </text>
    </comment>
    <comment ref="D524" authorId="0" shapeId="0" xr:uid="{00000000-0006-0000-0200-00003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</t>
        </r>
      </text>
    </comment>
    <comment ref="E524" authorId="0" shapeId="0" xr:uid="{00000000-0006-0000-0200-00003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
- Jumbo
</t>
        </r>
      </text>
    </comment>
    <comment ref="B525" authorId="0" shapeId="0" xr:uid="{00000000-0006-0000-0200-00003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SERCOTEC</t>
        </r>
      </text>
    </comment>
    <comment ref="D525" authorId="0" shapeId="0" xr:uid="{00000000-0006-0000-0200-00003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Mantención Santa Fé</t>
        </r>
      </text>
    </comment>
    <comment ref="E525" authorId="0" shapeId="0" xr:uid="{00000000-0006-0000-0200-00003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
- Jumbo
- Saldaña</t>
        </r>
      </text>
    </comment>
    <comment ref="D526" authorId="0" shapeId="0" xr:uid="{00000000-0006-0000-0200-00003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Revisión Técnica.
- Bencina.
- Permiso circulación</t>
        </r>
      </text>
    </comment>
    <comment ref="D531" authorId="0" shapeId="0" xr:uid="{00000000-0006-0000-0200-00003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532" authorId="0" shapeId="0" xr:uid="{00000000-0006-0000-0200-00003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Bandejas Hornos</t>
        </r>
      </text>
    </comment>
    <comment ref="D533" authorId="0" shapeId="0" xr:uid="{00000000-0006-0000-0200-00003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Flores</t>
        </r>
      </text>
    </comment>
    <comment ref="E533" authorId="0" shapeId="0" xr:uid="{00000000-0006-0000-0200-00003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Saldaña.
- Tito Pal.
- Frambuesas.
- Camarones</t>
        </r>
      </text>
    </comment>
    <comment ref="D534" authorId="0" shapeId="0" xr:uid="{00000000-0006-0000-0200-00003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Boaré</t>
        </r>
      </text>
    </comment>
    <comment ref="E534" authorId="0" shapeId="0" xr:uid="{00000000-0006-0000-0200-00004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Totus.
- Rúcula
- Manjar</t>
        </r>
      </text>
    </comment>
    <comment ref="D535" authorId="0" shapeId="0" xr:uid="{00000000-0006-0000-0200-00004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Flete Platos.
- Platos Casa Ideas
- Sueldo Lily</t>
        </r>
      </text>
    </comment>
    <comment ref="E535" authorId="0" shapeId="0" xr:uid="{00000000-0006-0000-0200-00004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Chocolate Merkén
- Cajon de tomates</t>
        </r>
      </text>
    </comment>
    <comment ref="B536" authorId="0" shapeId="0" xr:uid="{00000000-0006-0000-0200-00004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Bautizo estadio Árabe</t>
        </r>
      </text>
    </comment>
    <comment ref="D536" authorId="0" shapeId="0" xr:uid="{00000000-0006-0000-0200-00004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Copas
</t>
        </r>
      </text>
    </comment>
    <comment ref="E536" authorId="0" shapeId="0" xr:uid="{00000000-0006-0000-0200-00004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Paltas
- Slamón</t>
        </r>
      </text>
    </comment>
    <comment ref="D537" authorId="0" shapeId="0" xr:uid="{00000000-0006-0000-0200-00004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 Garzones.
- Sueldo Pavel</t>
        </r>
      </text>
    </comment>
    <comment ref="D538" authorId="0" shapeId="0" xr:uid="{00000000-0006-0000-0200-00004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Llave lavaplatos
- Gas Boaré</t>
        </r>
      </text>
    </comment>
    <comment ref="E538" authorId="0" shapeId="0" xr:uid="{00000000-0006-0000-0200-00004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Paltas</t>
        </r>
      </text>
    </comment>
    <comment ref="D539" authorId="0" shapeId="0" xr:uid="{00000000-0006-0000-0200-00004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Lavavajillas</t>
        </r>
      </text>
    </comment>
    <comment ref="E539" authorId="0" shapeId="0" xr:uid="{00000000-0006-0000-0200-00004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 de pollo
- Harina</t>
        </r>
      </text>
    </comment>
    <comment ref="D540" authorId="0" shapeId="0" xr:uid="{00000000-0006-0000-0200-00004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541" authorId="0" shapeId="0" xr:uid="{00000000-0006-0000-0200-00004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Sillas
- Telefono Amor</t>
        </r>
      </text>
    </comment>
    <comment ref="E541" authorId="0" shapeId="0" xr:uid="{00000000-0006-0000-0200-00004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 Cheddar
- Limón</t>
        </r>
      </text>
    </comment>
    <comment ref="E542" authorId="0" shapeId="0" xr:uid="{00000000-0006-0000-0200-00004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 Pal
- Chocolate Merkén
- Paltas</t>
        </r>
      </text>
    </comment>
    <comment ref="D545" authorId="0" shapeId="0" xr:uid="{00000000-0006-0000-0200-00004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 Bencina
- Percolador </t>
        </r>
      </text>
    </comment>
    <comment ref="E545" authorId="0" shapeId="0" xr:uid="{00000000-0006-0000-0200-00005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Tito Pal</t>
        </r>
      </text>
    </comment>
    <comment ref="D546" authorId="0" shapeId="0" xr:uid="{00000000-0006-0000-0200-00005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Petróleo.
- Flores</t>
        </r>
      </text>
    </comment>
    <comment ref="E546" authorId="0" shapeId="0" xr:uid="{00000000-0006-0000-0200-00005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Ganga.
- Tottus
- Jumbo</t>
        </r>
      </text>
    </comment>
    <comment ref="B547" authorId="0" shapeId="0" xr:uid="{00000000-0006-0000-0200-00005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 compensación 160 desayunos</t>
        </r>
      </text>
    </comment>
    <comment ref="D547" authorId="0" shapeId="0" xr:uid="{00000000-0006-0000-0200-00005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Estacionamientos La Araucana</t>
        </r>
      </text>
    </comment>
    <comment ref="D548" authorId="0" shapeId="0" xr:uid="{00000000-0006-0000-0200-00005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Llave Lavavajillas
- Instalación</t>
        </r>
      </text>
    </comment>
    <comment ref="E548" authorId="0" shapeId="0" xr:uid="{00000000-0006-0000-0200-00005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Vinos Partido socialista.</t>
        </r>
      </text>
    </comment>
    <comment ref="D549" authorId="0" shapeId="0" xr:uid="{00000000-0006-0000-0200-00005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Accesorios estacas cordero</t>
        </r>
      </text>
    </comment>
    <comment ref="E549" authorId="0" shapeId="0" xr:uid="{00000000-0006-0000-0200-00005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Frambuesas Humberto
- Pescaderia
- Longanizas
- Carnes JD
- Jumbo</t>
        </r>
      </text>
    </comment>
    <comment ref="B550" authorId="0" shapeId="0" xr:uid="{00000000-0006-0000-0200-00005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y cordero Chaimávida</t>
        </r>
      </text>
    </comment>
    <comment ref="D550" authorId="0" shapeId="0" xr:uid="{00000000-0006-0000-0200-00005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IVA.
- Copas de Vino</t>
        </r>
      </text>
    </comment>
    <comment ref="E550" authorId="0" shapeId="0" xr:uid="{00000000-0006-0000-0200-00005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Cordero
- Pan Choripán
- Tito Pal.
- Gatorade</t>
        </r>
      </text>
    </comment>
    <comment ref="D551" authorId="0" shapeId="0" xr:uid="{00000000-0006-0000-0200-00005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551" authorId="0" shapeId="0" xr:uid="{00000000-0006-0000-0200-00005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Garzones</t>
        </r>
      </text>
    </comment>
    <comment ref="E552" authorId="0" shapeId="0" xr:uid="{00000000-0006-0000-0200-00005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 </t>
        </r>
      </text>
    </comment>
    <comment ref="D553" authorId="0" shapeId="0" xr:uid="{00000000-0006-0000-0200-00005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Madera mueble bnadejas</t>
        </r>
      </text>
    </comment>
    <comment ref="E553" authorId="0" shapeId="0" xr:uid="{00000000-0006-0000-0200-00006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Cajas alfajores UDD</t>
        </r>
      </text>
    </comment>
    <comment ref="D555" authorId="0" shapeId="0" xr:uid="{00000000-0006-0000-0200-00006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
- Bencina</t>
        </r>
      </text>
    </comment>
    <comment ref="D556" authorId="0" shapeId="0" xr:uid="{00000000-0006-0000-0200-00006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Contenedor hermetico de vidrio</t>
        </r>
      </text>
    </comment>
    <comment ref="E556" authorId="0" shapeId="0" xr:uid="{00000000-0006-0000-0200-00006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Cebolla</t>
        </r>
      </text>
    </comment>
    <comment ref="E557" authorId="0" shapeId="0" xr:uid="{00000000-0006-0000-0200-00006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
- Carne empanadas</t>
        </r>
      </text>
    </comment>
    <comment ref="D559" authorId="0" shapeId="0" xr:uid="{00000000-0006-0000-0200-00006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Bandejas empanadas Vanni</t>
        </r>
      </text>
    </comment>
    <comment ref="E559" authorId="0" shapeId="0" xr:uid="{00000000-0006-0000-0200-00006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 empanadas
- Aceitunas</t>
        </r>
      </text>
    </comment>
    <comment ref="B566" authorId="0" shapeId="0" xr:uid="{00000000-0006-0000-0200-00006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PS</t>
        </r>
      </text>
    </comment>
    <comment ref="D566" authorId="0" shapeId="0" xr:uid="{00000000-0006-0000-0200-00006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
- Petroleo
- Bencina</t>
        </r>
      </text>
    </comment>
    <comment ref="E566" authorId="0" shapeId="0" xr:uid="{00000000-0006-0000-0200-00006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Bebestibles cumpleaños.
- Carne cumpleaños
-Tito pal.
- Pulpos.
- Zapallos.
- Carbon.
- Tottus.</t>
        </r>
      </text>
    </comment>
    <comment ref="B567" authorId="0" shapeId="0" xr:uid="{00000000-0006-0000-0200-00006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Asado Claudia Quillón</t>
        </r>
      </text>
    </comment>
    <comment ref="E567" authorId="0" shapeId="0" xr:uid="{00000000-0006-0000-0200-00006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Gastos asado
</t>
        </r>
      </text>
    </comment>
    <comment ref="E568" authorId="0" shapeId="0" xr:uid="{00000000-0006-0000-0200-00006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Gastos Coffes</t>
        </r>
      </text>
    </comment>
    <comment ref="D569" authorId="0" shapeId="0" xr:uid="{00000000-0006-0000-0200-00006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 Lily</t>
        </r>
      </text>
    </comment>
    <comment ref="E570" authorId="0" shapeId="0" xr:uid="{00000000-0006-0000-0200-00006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Lider</t>
        </r>
      </text>
    </comment>
    <comment ref="D571" authorId="0" shapeId="0" xr:uid="{00000000-0006-0000-0200-00006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Arriendo Sillas.
- Sueldos.</t>
        </r>
      </text>
    </comment>
    <comment ref="D572" authorId="0" shapeId="0" xr:uid="{00000000-0006-0000-0200-00007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572" authorId="0" shapeId="0" xr:uid="{00000000-0006-0000-0200-00007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Tortas Lidia</t>
        </r>
      </text>
    </comment>
    <comment ref="E573" authorId="0" shapeId="0" xr:uid="{00000000-0006-0000-0200-00007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-Chocolate Merkén
- Tito Pal
- Queso.
- Jumbo.
- Jamón.</t>
        </r>
      </text>
    </comment>
    <comment ref="D574" authorId="0" shapeId="0" xr:uid="{00000000-0006-0000-0200-00007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Guantes de Nitrilo</t>
        </r>
      </text>
    </comment>
    <comment ref="E574" authorId="0" shapeId="0" xr:uid="{00000000-0006-0000-0200-00007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Morrón</t>
        </r>
      </text>
    </comment>
    <comment ref="D576" authorId="0" shapeId="0" xr:uid="{00000000-0006-0000-0200-00007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B577" authorId="0" shapeId="0" xr:uid="{00000000-0006-0000-0200-00007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Cubierta Bárbara.</t>
        </r>
      </text>
    </comment>
    <comment ref="D577" authorId="0" shapeId="0" xr:uid="{00000000-0006-0000-0200-00007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Tarjetas.
- Basses de tortas.
- Sillas</t>
        </r>
      </text>
    </comment>
    <comment ref="E577" authorId="0" shapeId="0" xr:uid="{00000000-0006-0000-0200-00007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Huevos.
- Leche condensada</t>
        </r>
      </text>
    </comment>
    <comment ref="E579" authorId="0" shapeId="0" xr:uid="{00000000-0006-0000-0200-00007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Acuenta:
Jugos
Bolsa Basura
azúcar flor.</t>
        </r>
      </text>
    </comment>
    <comment ref="D580" authorId="0" shapeId="0" xr:uid="{00000000-0006-0000-0200-00007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Bio Lux</t>
        </r>
      </text>
    </comment>
    <comment ref="E580" authorId="0" shapeId="0" xr:uid="{00000000-0006-0000-0200-00007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Vega.
- Lider</t>
        </r>
      </text>
    </comment>
    <comment ref="D581" authorId="0" shapeId="0" xr:uid="{00000000-0006-0000-0200-00007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Policarbonato techo patio.
- Conejo de pascua niños
- Bolsas</t>
        </r>
      </text>
    </comment>
    <comment ref="D582" authorId="0" shapeId="0" xr:uid="{00000000-0006-0000-0200-00007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 auto y generador</t>
        </r>
      </text>
    </comment>
    <comment ref="D583" authorId="0" shapeId="0" xr:uid="{00000000-0006-0000-0200-00007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Ensaladera</t>
        </r>
      </text>
    </comment>
    <comment ref="E583" authorId="0" shapeId="0" xr:uid="{00000000-0006-0000-0200-00007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Harina.</t>
        </r>
      </text>
    </comment>
    <comment ref="D584" authorId="0" shapeId="0" xr:uid="{00000000-0006-0000-0200-00008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Contadora.
- Pago IVA.,
- Gas.</t>
        </r>
      </text>
    </comment>
    <comment ref="D585" authorId="0" shapeId="0" xr:uid="{00000000-0006-0000-0200-00008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Molduras de madera.
- Estuche cortaplumas.</t>
        </r>
      </text>
    </comment>
    <comment ref="E585" authorId="0" shapeId="0" xr:uid="{00000000-0006-0000-0200-00008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bautizo.
- Soprole</t>
        </r>
      </text>
    </comment>
    <comment ref="E586" authorId="0" shapeId="0" xr:uid="{00000000-0006-0000-0200-00008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 de pollo.</t>
        </r>
      </text>
    </comment>
    <comment ref="E587" authorId="0" shapeId="0" xr:uid="{00000000-0006-0000-0200-00008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Levadura 500 grs.
- Jumbo</t>
        </r>
      </text>
    </comment>
    <comment ref="D588" authorId="0" shapeId="0" xr:uid="{00000000-0006-0000-0200-00008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590" authorId="0" shapeId="0" xr:uid="{00000000-0006-0000-0200-00008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Goma Puerta horno
- Vanni</t>
        </r>
      </text>
    </comment>
    <comment ref="E590" authorId="0" shapeId="0" xr:uid="{00000000-0006-0000-0200-00008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591" authorId="0" shapeId="0" xr:uid="{00000000-0006-0000-0200-00008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Platos Cristaleria La Paz</t>
        </r>
      </text>
    </comment>
    <comment ref="E591" authorId="0" shapeId="0" xr:uid="{00000000-0006-0000-0200-00008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
- Unimarc</t>
        </r>
      </text>
    </comment>
    <comment ref="D592" authorId="0" shapeId="0" xr:uid="{00000000-0006-0000-0200-00008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
- Petróleo
- Peajes</t>
        </r>
      </text>
    </comment>
    <comment ref="E592" authorId="0" shapeId="0" xr:uid="{00000000-0006-0000-0200-00008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Café Grano</t>
        </r>
      </text>
    </comment>
    <comment ref="E594" authorId="0" shapeId="0" xr:uid="{00000000-0006-0000-0200-00008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Unimarc</t>
        </r>
      </text>
    </comment>
    <comment ref="E595" authorId="0" shapeId="0" xr:uid="{00000000-0006-0000-0200-00008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
- Cajón tomates
- Queso Crema
- Huevos
- Camarones</t>
        </r>
      </text>
    </comment>
    <comment ref="D603" authorId="0" shapeId="0" xr:uid="{00000000-0006-0000-0200-00008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Repuestos Kanka
</t>
        </r>
      </text>
    </comment>
    <comment ref="E603" authorId="0" shapeId="0" xr:uid="{00000000-0006-0000-0200-00008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Queso.
- Carne para empanadas</t>
        </r>
      </text>
    </comment>
    <comment ref="D604" authorId="0" shapeId="0" xr:uid="{00000000-0006-0000-0200-00009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Curso Marisol.</t>
        </r>
      </text>
    </comment>
    <comment ref="D605" authorId="0" shapeId="0" xr:uid="{00000000-0006-0000-0200-00009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606" authorId="0" shapeId="0" xr:uid="{00000000-0006-0000-0200-00009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Accesorio estaca corderos</t>
        </r>
      </text>
    </comment>
    <comment ref="D607" authorId="0" shapeId="0" xr:uid="{00000000-0006-0000-0200-00009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Logo BoAré. 
- Delantal Chef.
- Telas camino de mesas.
- Cajas Organizadoras</t>
        </r>
      </text>
    </comment>
    <comment ref="E607" authorId="0" shapeId="0" xr:uid="{00000000-0006-0000-0200-00009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Tortas Lidia
- Vinos "Las Mulas"</t>
        </r>
      </text>
    </comment>
    <comment ref="E608" authorId="0" shapeId="0" xr:uid="{00000000-0006-0000-0200-00009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Harina.
- Veneno moscas.
- Huevos.</t>
        </r>
      </text>
    </comment>
    <comment ref="D610" authorId="0" shapeId="0" xr:uid="{00000000-0006-0000-0200-00009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Mantel asado.
- Estacionamientos</t>
        </r>
      </text>
    </comment>
    <comment ref="B611" authorId="0" shapeId="0" xr:uid="{00000000-0006-0000-0200-00009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Torta Vecina</t>
        </r>
      </text>
    </comment>
    <comment ref="D611" authorId="0" shapeId="0" xr:uid="{00000000-0006-0000-0200-00009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- Kanka.
- Brasero BoAré
- Lider</t>
        </r>
      </text>
    </comment>
    <comment ref="D612" authorId="0" shapeId="0" xr:uid="{00000000-0006-0000-0200-00009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BoAre</t>
        </r>
      </text>
    </comment>
    <comment ref="E612" authorId="0" shapeId="0" xr:uid="{00000000-0006-0000-0200-00009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Pechugas
- 10 kilos de frutillas, 10 kilos de frambuesas</t>
        </r>
      </text>
    </comment>
    <comment ref="E613" authorId="0" shapeId="0" xr:uid="{00000000-0006-0000-0200-00009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Lomo Vetado.
- Pisco Sour
</t>
        </r>
      </text>
    </comment>
    <comment ref="D615" authorId="0" shapeId="0" xr:uid="{00000000-0006-0000-0200-00009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Gidi</t>
        </r>
      </text>
    </comment>
    <comment ref="E616" authorId="0" shapeId="0" xr:uid="{00000000-0006-0000-0200-00009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Liquidos para evento dell 24/02</t>
        </r>
      </text>
    </comment>
    <comment ref="D619" authorId="0" shapeId="0" xr:uid="{00000000-0006-0000-0200-00009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620" authorId="0" shapeId="0" xr:uid="{00000000-0006-0000-0200-00009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</t>
        </r>
      </text>
    </comment>
    <comment ref="D621" authorId="0" shapeId="0" xr:uid="{00000000-0006-0000-0200-0000A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Bolsas Ciplox.
- Cajas transparentes para vasos</t>
        </r>
      </text>
    </comment>
    <comment ref="E621" authorId="0" shapeId="0" xr:uid="{00000000-0006-0000-0200-0000A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Palta</t>
        </r>
      </text>
    </comment>
    <comment ref="D622" authorId="0" shapeId="0" xr:uid="{00000000-0006-0000-0200-0000A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Tinte madera</t>
        </r>
      </text>
    </comment>
    <comment ref="E622" authorId="0" shapeId="0" xr:uid="{00000000-0006-0000-0200-0000A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Lomo vetado
- Hielo</t>
        </r>
      </text>
    </comment>
    <comment ref="E623" authorId="0" shapeId="0" xr:uid="{00000000-0006-0000-0200-0000A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Leche evaporada.
- Tito Pal</t>
        </r>
      </text>
    </comment>
    <comment ref="D624" authorId="0" shapeId="0" xr:uid="{00000000-0006-0000-0200-0000A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Soplete y pinzas de hielo
- Petróleo
</t>
        </r>
      </text>
    </comment>
    <comment ref="E624" authorId="0" shapeId="0" xr:uid="{00000000-0006-0000-0200-0000A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Zapallos
- Vega.
- Chocolate Merken.
- Carnes JD
- Pechuga de pollo</t>
        </r>
      </text>
    </comment>
    <comment ref="D625" authorId="0" shapeId="0" xr:uid="{00000000-0006-0000-0200-0000A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Sueldos.
- Bencina</t>
        </r>
      </text>
    </comment>
    <comment ref="E625" authorId="0" shapeId="0" xr:uid="{00000000-0006-0000-0200-0000A8000000}">
      <text>
        <r>
          <rPr>
            <b/>
            <sz val="9"/>
            <color indexed="81"/>
            <rFont val="Tahoma"/>
            <family val="2"/>
          </rPr>
          <t xml:space="preserve">BoAré:
</t>
        </r>
        <r>
          <rPr>
            <sz val="9"/>
            <color indexed="81"/>
            <rFont val="Tahoma"/>
            <family val="2"/>
          </rPr>
          <t>- Longanizas
- Costa rama
- Tito Pal</t>
        </r>
      </text>
    </comment>
    <comment ref="D628" authorId="0" shapeId="0" xr:uid="{00000000-0006-0000-0200-0000A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E628" authorId="0" shapeId="0" xr:uid="{00000000-0006-0000-0200-0000A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</t>
        </r>
      </text>
    </comment>
    <comment ref="E629" authorId="0" shapeId="0" xr:uid="{00000000-0006-0000-0200-0000A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Vega</t>
        </r>
      </text>
    </comment>
    <comment ref="D630" authorId="0" shapeId="0" xr:uid="{00000000-0006-0000-0200-0000A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Acero inoxidable 
- Soldadura de cruz cordero</t>
        </r>
      </text>
    </comment>
    <comment ref="E630" authorId="0" shapeId="0" xr:uid="{00000000-0006-0000-0200-0000AD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Bebidas.
- Pechugas
- Nuevo Amanecer.</t>
        </r>
      </text>
    </comment>
    <comment ref="E643" authorId="0" shapeId="0" xr:uid="{00000000-0006-0000-0200-0000A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Pechugas de Pollo
- Margarina</t>
        </r>
      </text>
    </comment>
    <comment ref="D644" authorId="0" shapeId="0" xr:uid="{00000000-0006-0000-0200-0000A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Pino 2x8.
- Poleras.
- Gigi.
- Casa&amp;ideas</t>
        </r>
      </text>
    </comment>
    <comment ref="D645" authorId="0" shapeId="0" xr:uid="{00000000-0006-0000-0200-0000B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Kanka
- Poleras con logo
- Grata
- Peajes</t>
        </r>
      </text>
    </comment>
    <comment ref="E645" authorId="0" shapeId="0" xr:uid="{00000000-0006-0000-0200-0000B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Saldaña
- Queso</t>
        </r>
      </text>
    </comment>
    <comment ref="D646" authorId="0" shapeId="0" xr:uid="{00000000-0006-0000-0200-0000B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Grabado logo BOARÉ
- Aceiteros
- Sodimac: Pala, malla acma, pintura</t>
        </r>
      </text>
    </comment>
    <comment ref="E646" authorId="0" shapeId="0" xr:uid="{00000000-0006-0000-0200-0000B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Pechugas.
- Galletas.
- Huevos</t>
        </r>
      </text>
    </comment>
    <comment ref="D647" authorId="0" shapeId="0" xr:uid="{00000000-0006-0000-0200-0000B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Garzones.
- Bencina.
- Fierros.</t>
        </r>
      </text>
    </comment>
    <comment ref="E647" authorId="0" shapeId="0" xr:uid="{00000000-0006-0000-0200-0000B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Carne.
- Prietas
- Jumbo</t>
        </r>
      </text>
    </comment>
    <comment ref="D648" authorId="0" shapeId="0" xr:uid="{00000000-0006-0000-0200-0000B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
- Bencina.
- Peajes.</t>
        </r>
      </text>
    </comment>
    <comment ref="D649" authorId="0" shapeId="0" xr:uid="{00000000-0006-0000-0200-0000B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Garzones.
- Saldo de cordero.
- Carbón
</t>
        </r>
      </text>
    </comment>
    <comment ref="D650" authorId="0" shapeId="0" xr:uid="{00000000-0006-0000-0200-0000B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653" authorId="0" shapeId="0" xr:uid="{00000000-0006-0000-0200-0000B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D654" authorId="0" shapeId="0" xr:uid="{00000000-0006-0000-0200-0000B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Bencina.
- Tuercas parrilla cordero
- Peajes.</t>
        </r>
      </text>
    </comment>
    <comment ref="E654" authorId="0" shapeId="0" xr:uid="{00000000-0006-0000-0200-0000B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Queso.
- Posta rosada.
- Vega.</t>
        </r>
      </text>
    </comment>
    <comment ref="D655" authorId="0" shapeId="0" xr:uid="{00000000-0006-0000-0200-0000BC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Gas BOARÉ</t>
        </r>
      </text>
    </comment>
    <comment ref="E655" authorId="0" shapeId="0" xr:uid="{00000000-0006-0000-0200-0000BD000000}">
      <text>
        <r>
          <rPr>
            <b/>
            <sz val="9"/>
            <color indexed="81"/>
            <rFont val="Tahoma"/>
            <family val="2"/>
          </rPr>
          <t>BoAré:
- Sobres de azúczr</t>
        </r>
        <r>
          <rPr>
            <sz val="9"/>
            <color indexed="81"/>
            <rFont val="Tahoma"/>
            <family val="2"/>
          </rPr>
          <t xml:space="preserve">
- Unimarc - Leche condensada</t>
        </r>
      </text>
    </comment>
    <comment ref="E656" authorId="0" shapeId="0" xr:uid="{00000000-0006-0000-0200-0000BE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Titopal</t>
        </r>
      </text>
    </comment>
    <comment ref="D658" authorId="0" shapeId="0" xr:uid="{00000000-0006-0000-0200-0000B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Sartenes fierro</t>
        </r>
      </text>
    </comment>
    <comment ref="E658" authorId="0" shapeId="0" xr:uid="{00000000-0006-0000-0200-0000C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Manjar</t>
        </r>
      </text>
    </comment>
    <comment ref="D659" authorId="0" shapeId="0" xr:uid="{00000000-0006-0000-0200-0000C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E659" authorId="0" shapeId="0" xr:uid="{00000000-0006-0000-0200-0000C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Pechugas
- Galletas criollitas</t>
        </r>
      </text>
    </comment>
    <comment ref="D660" authorId="0" shapeId="0" xr:uid="{00000000-0006-0000-0200-0000C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660" authorId="0" shapeId="0" xr:uid="{00000000-0006-0000-0200-0000C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Aguas saborizadas.
- Choclo congelado</t>
        </r>
      </text>
    </comment>
    <comment ref="E662" authorId="0" shapeId="0" xr:uid="{00000000-0006-0000-0200-0000C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Champiñon</t>
        </r>
      </text>
    </comment>
    <comment ref="D673" authorId="0" shapeId="0" xr:uid="{00000000-0006-0000-0200-0000C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Sueñdo Lily</t>
        </r>
      </text>
    </comment>
    <comment ref="D675" authorId="1" shapeId="0" xr:uid="{00000000-0006-0000-0200-0000C7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Sueldo Yasna.
- Flete.
- Colaciones.
- Javiera
</t>
        </r>
      </text>
    </comment>
    <comment ref="E675" authorId="1" shapeId="0" xr:uid="{00000000-0006-0000-0200-0000C8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
- Saldaña.
- Mercato.</t>
        </r>
      </text>
    </comment>
    <comment ref="D676" authorId="1" shapeId="0" xr:uid="{00000000-0006-0000-0200-0000C9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Manteles Guidi.
</t>
        </r>
      </text>
    </comment>
    <comment ref="E676" authorId="1" shapeId="0" xr:uid="{00000000-0006-0000-0200-0000CA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</t>
        </r>
      </text>
    </comment>
    <comment ref="E677" authorId="1" shapeId="0" xr:uid="{00000000-0006-0000-0200-0000CB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ambiante.
- Manjar.
- Jamón pizza
- Cerezas Brochetas.
- Jumbo.</t>
        </r>
      </text>
    </comment>
    <comment ref="D678" authorId="1" shapeId="0" xr:uid="{00000000-0006-0000-0200-0000CC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Flete.
- Lider.
- Arriendo local.
- Arriendo sillas.
- Cámara 360º.
- Animadora.
- Garzones.
- Juany
- Arriendo de servicio</t>
        </r>
      </text>
    </comment>
    <comment ref="E681" authorId="1" shapeId="0" xr:uid="{00000000-0006-0000-0200-0000CD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Marsh mellow
- Pechugas</t>
        </r>
      </text>
    </comment>
    <comment ref="E683" authorId="1" shapeId="0" xr:uid="{00000000-0006-0000-0200-0000CE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Lider.
- Jumbo.
- Petróleo</t>
        </r>
      </text>
    </comment>
    <comment ref="E684" authorId="1" shapeId="0" xr:uid="{00000000-0006-0000-0200-0000CF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Manteca.
- Margarina de horneo.
- Vega.
- Queso
- Lider
- Tottus</t>
        </r>
      </text>
    </comment>
    <comment ref="D685" authorId="1" shapeId="0" xr:uid="{00000000-0006-0000-0200-0000D0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Garzones.
- Juany.
- Arrriendo de loza.
- Compra vasos
- Pago de flete</t>
        </r>
      </text>
    </comment>
    <comment ref="E685" authorId="1" shapeId="0" xr:uid="{00000000-0006-0000-0200-0000D1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Negocio Chiguayante.</t>
        </r>
      </text>
    </comment>
    <comment ref="E686" authorId="1" shapeId="0" xr:uid="{00000000-0006-0000-0200-0000D2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Limones.
- Vega.
- Jumbo</t>
        </r>
      </text>
    </comment>
    <comment ref="D687" authorId="1" shapeId="0" xr:uid="{00000000-0006-0000-0200-0000D3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687" authorId="1" shapeId="0" xr:uid="{00000000-0006-0000-0200-0000D4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
- Carne mini churrascos
- Gas Boaré.
- Vanni.
- Pan Castaño</t>
        </r>
      </text>
    </comment>
    <comment ref="D688" authorId="1" shapeId="0" xr:uid="{00000000-0006-0000-0200-0000D5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Petróleo</t>
        </r>
      </text>
    </comment>
    <comment ref="E688" authorId="1" shapeId="0" xr:uid="{00000000-0006-0000-0200-0000D6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
- Salmón.
- Camarones.
- Carne Mechada.
- Vega.
- Queso</t>
        </r>
      </text>
    </comment>
    <comment ref="D689" authorId="1" shapeId="0" xr:uid="{00000000-0006-0000-0200-0000D7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 casa
- Sueldos pendex</t>
        </r>
      </text>
    </comment>
    <comment ref="D690" authorId="1" shapeId="0" xr:uid="{00000000-0006-0000-0200-0000D8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Impuestos.</t>
        </r>
      </text>
    </comment>
    <comment ref="E690" authorId="0" shapeId="0" xr:uid="{00000000-0006-0000-0200-0000D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Congelados.
- Super 10.</t>
        </r>
      </text>
    </comment>
    <comment ref="D691" authorId="0" shapeId="0" xr:uid="{00000000-0006-0000-0200-0000DA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691" authorId="0" shapeId="0" xr:uid="{00000000-0006-0000-0200-0000DB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Jumbo.
- Tito Pal</t>
        </r>
      </text>
    </comment>
    <comment ref="D692" authorId="1" shapeId="0" xr:uid="{00000000-0006-0000-0200-0000DC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Sueldos garzones</t>
        </r>
      </text>
    </comment>
    <comment ref="E692" authorId="1" shapeId="0" xr:uid="{00000000-0006-0000-0200-0000DD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Café.
- Aceitunas.
- Jumbo.
- Leche evaporada.</t>
        </r>
      </text>
    </comment>
    <comment ref="D693" authorId="1" shapeId="0" xr:uid="{00000000-0006-0000-0200-0000DE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Garzones.
-Transportes mena.
- Cuchillo cocina
FALTA ARRIENDO VAJILLERIA</t>
        </r>
      </text>
    </comment>
    <comment ref="E693" authorId="0" shapeId="0" xr:uid="{00000000-0006-0000-0200-0000DF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Vega.
- Huevos.
- Jumbo.
- Queso Crema</t>
        </r>
      </text>
    </comment>
    <comment ref="D694" authorId="0" shapeId="0" xr:uid="{00000000-0006-0000-0200-0000E0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Javiera
</t>
        </r>
      </text>
    </comment>
    <comment ref="E694" authorId="0" shapeId="0" xr:uid="{00000000-0006-0000-0200-0000E1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Vega</t>
        </r>
      </text>
    </comment>
    <comment ref="D695" authorId="0" shapeId="0" xr:uid="{00000000-0006-0000-0200-0000E2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Pago Javiera.
- Pago Garzones.
- Aguinaldo Lily
FALTA PAGO DE NYZA</t>
        </r>
      </text>
    </comment>
    <comment ref="E695" authorId="0" shapeId="0" xr:uid="{00000000-0006-0000-0200-0000E3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Vega.
- Leche evaporada.
- Tortas Lidia</t>
        </r>
      </text>
    </comment>
    <comment ref="E696" authorId="0" shapeId="0" xr:uid="{00000000-0006-0000-0200-0000E4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Super
- Tito Pal.
- Queso.</t>
        </r>
      </text>
    </comment>
    <comment ref="E697" authorId="0" shapeId="0" xr:uid="{00000000-0006-0000-0200-0000E5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Hielo</t>
        </r>
      </text>
    </comment>
    <comment ref="D698" authorId="0" shapeId="0" xr:uid="{00000000-0006-0000-0200-0000E6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Copas flauta.
- Garzones.
- Servicio - cuchillería</t>
        </r>
      </text>
    </comment>
    <comment ref="E698" authorId="0" shapeId="0" xr:uid="{00000000-0006-0000-0200-0000E7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Carne JD
- Huevos.
- Pisco Sour.</t>
        </r>
      </text>
    </comment>
    <comment ref="D699" authorId="0" shapeId="0" xr:uid="{00000000-0006-0000-0200-0000E8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Garzones
- Bencina.
- Petróleo.</t>
        </r>
      </text>
    </comment>
    <comment ref="E699" authorId="0" shapeId="0" xr:uid="{00000000-0006-0000-0200-0000E9000000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Endulzante.
- Tito Pal.
- Longanizas
- Carne Jumbo
- Galletas estadio árabe</t>
        </r>
      </text>
    </comment>
    <comment ref="E707" authorId="1" shapeId="0" xr:uid="{00000000-0006-0000-0200-0000EA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Huevos.
- Manjar.
- Maizena</t>
        </r>
      </text>
    </comment>
    <comment ref="D708" authorId="1" shapeId="0" xr:uid="{00000000-0006-0000-0200-0000EB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Sueldo  Lyli
</t>
        </r>
      </text>
    </comment>
    <comment ref="D709" authorId="1" shapeId="0" xr:uid="{00000000-0006-0000-0200-0000EC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Manteles de mesa.</t>
        </r>
      </text>
    </comment>
    <comment ref="E709" authorId="1" shapeId="0" xr:uid="{00000000-0006-0000-0200-0000ED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</t>
        </r>
      </text>
    </comment>
    <comment ref="D710" authorId="1" shapeId="0" xr:uid="{00000000-0006-0000-0200-0000EE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E710" authorId="1" shapeId="0" xr:uid="{00000000-0006-0000-0200-0000EF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Acuenta
- Jumbo.
- Super Ganga. 
- Queso.
- Chocolate Merkén</t>
        </r>
      </text>
    </comment>
    <comment ref="D711" authorId="1" shapeId="0" xr:uid="{00000000-0006-0000-0200-0000F0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Impuestos
</t>
        </r>
      </text>
    </comment>
    <comment ref="E711" authorId="1" shapeId="0" xr:uid="{00000000-0006-0000-0200-0000F1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mini churrascos, brochetas.</t>
        </r>
      </text>
    </comment>
    <comment ref="D712" authorId="1" shapeId="0" xr:uid="{00000000-0006-0000-0200-0000F2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Garzones.</t>
        </r>
      </text>
    </comment>
    <comment ref="E713" authorId="1" shapeId="0" xr:uid="{00000000-0006-0000-0200-0000F3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larga vida.
- Lámina de azúcar.</t>
        </r>
      </text>
    </comment>
    <comment ref="E714" authorId="1" shapeId="0" xr:uid="{00000000-0006-0000-0200-0000F4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Saldaña.
- Paltas.
- Jamón.</t>
        </r>
      </text>
    </comment>
    <comment ref="E715" authorId="1" shapeId="0" xr:uid="{00000000-0006-0000-0200-0000F5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Madera Trofeos.
- Corte de cruces
- Aceite de tung</t>
        </r>
      </text>
    </comment>
    <comment ref="B716" authorId="1" shapeId="0" xr:uid="{00000000-0006-0000-0200-0000F6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Trofeos Cine</t>
        </r>
      </text>
    </comment>
    <comment ref="D716" authorId="1" shapeId="0" xr:uid="{00000000-0006-0000-0200-0000F7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Alzador tortas.
- Bencina.</t>
        </r>
      </text>
    </comment>
    <comment ref="E716" authorId="1" shapeId="0" xr:uid="{00000000-0006-0000-0200-0000F8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Manteca y pechuga.</t>
        </r>
      </text>
    </comment>
    <comment ref="E718" authorId="1" shapeId="0" xr:uid="{00000000-0006-0000-0200-0000F9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Huevos-
</t>
        </r>
      </text>
    </comment>
    <comment ref="D720" authorId="1" shapeId="0" xr:uid="{00000000-0006-0000-0200-0000FA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Almuerzo Quillón.
- Café Quillón.
- 10 Cajas de vasos</t>
        </r>
      </text>
    </comment>
    <comment ref="E720" authorId="1" shapeId="0" xr:uid="{00000000-0006-0000-0200-0000FB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Jugos.
- Manjar</t>
        </r>
      </text>
    </comment>
    <comment ref="D721" authorId="1" shapeId="0" xr:uid="{00000000-0006-0000-0200-0000FC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Platos EL VOLCÁN.
- Bencina.</t>
        </r>
      </text>
    </comment>
    <comment ref="E721" authorId="1" shapeId="0" xr:uid="{00000000-0006-0000-0200-0000FD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Soprole</t>
        </r>
      </text>
    </comment>
    <comment ref="E722" authorId="1" shapeId="0" xr:uid="{00000000-0006-0000-0200-0000FE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Margarina de horneo.
- Pechugas.
- Harina.</t>
        </r>
      </text>
    </comment>
    <comment ref="D723" authorId="1" shapeId="0" xr:uid="{00000000-0006-0000-0200-0000FF00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Estacionamiento</t>
        </r>
      </text>
    </comment>
    <comment ref="E724" authorId="1" shapeId="0" xr:uid="{00000000-0006-0000-0200-00000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Levadura ideal.
- Leche.</t>
        </r>
      </text>
    </comment>
    <comment ref="D728" authorId="1" shapeId="0" xr:uid="{00000000-0006-0000-0200-00000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Curso Pavel.
- Pletinas 
- Sodimac.
- Bencina</t>
        </r>
      </text>
    </comment>
    <comment ref="E728" authorId="1" shapeId="0" xr:uid="{00000000-0006-0000-0200-00000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</t>
        </r>
      </text>
    </comment>
    <comment ref="D729" authorId="1" shapeId="0" xr:uid="{00000000-0006-0000-0200-00000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Alambre.
- Tuercas parrilla.
- Útiles de aseo.</t>
        </r>
      </text>
    </comment>
    <comment ref="E729" authorId="1" shapeId="0" xr:uid="{00000000-0006-0000-0200-00000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Paltas
- Jamón.
- Pechugas
- Galletas</t>
        </r>
      </text>
    </comment>
    <comment ref="D730" authorId="1" shapeId="0" xr:uid="{00000000-0006-0000-0200-00000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Implementos para parrilla de cordero</t>
        </r>
      </text>
    </comment>
    <comment ref="E731" authorId="1" shapeId="0" xr:uid="{00000000-0006-0000-0200-00000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Leña cordero</t>
        </r>
      </text>
    </comment>
    <comment ref="E732" authorId="1" shapeId="0" xr:uid="{00000000-0006-0000-0200-00000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Insumos Jumbo
- Insumos Acuenta</t>
        </r>
      </text>
    </comment>
    <comment ref="D733" authorId="1" shapeId="0" xr:uid="{00000000-0006-0000-0200-00000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Copas Flautas
- Petroleo Santa Fe</t>
        </r>
      </text>
    </comment>
    <comment ref="E733" authorId="1" shapeId="0" xr:uid="{00000000-0006-0000-0200-00000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Pechuga pollo</t>
        </r>
      </text>
    </comment>
    <comment ref="D734" authorId="1" shapeId="0" xr:uid="{00000000-0006-0000-0200-00000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Combustible.
- Pago Katia.
- Pago pendex</t>
        </r>
      </text>
    </comment>
    <comment ref="E734" authorId="1" shapeId="0" xr:uid="{00000000-0006-0000-0200-00000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Quso Crema</t>
        </r>
      </text>
    </comment>
    <comment ref="E736" authorId="1" shapeId="0" xr:uid="{00000000-0006-0000-0200-00000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D741" authorId="1" shapeId="0" xr:uid="{00000000-0006-0000-0200-00000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Vasos</t>
        </r>
      </text>
    </comment>
    <comment ref="E742" authorId="1" shapeId="0" xr:uid="{00000000-0006-0000-0200-00000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Azucar Flor
- Azúcar rubia</t>
        </r>
      </text>
    </comment>
    <comment ref="E743" authorId="1" shapeId="0" xr:uid="{00000000-0006-0000-0200-00000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Azúcar.
- Manjar</t>
        </r>
      </text>
    </comment>
    <comment ref="D744" authorId="1" shapeId="0" xr:uid="{00000000-0006-0000-0200-00001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744" authorId="1" shapeId="0" xr:uid="{00000000-0006-0000-0200-00001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ambiante</t>
        </r>
      </text>
    </comment>
    <comment ref="D745" authorId="1" shapeId="0" xr:uid="{00000000-0006-0000-0200-00001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Sueldo Lili
</t>
        </r>
      </text>
    </comment>
    <comment ref="E745" authorId="1" shapeId="0" xr:uid="{00000000-0006-0000-0200-00001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Glucosa.
- Glicerina</t>
        </r>
      </text>
    </comment>
    <comment ref="D746" authorId="1" shapeId="0" xr:uid="{00000000-0006-0000-0200-00001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</t>
        </r>
      </text>
    </comment>
    <comment ref="E746" authorId="1" shapeId="0" xr:uid="{00000000-0006-0000-0200-00001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Café Cubano.
- Margarina.
- Pan Molde.
- Queso Mantecooso</t>
        </r>
      </text>
    </comment>
    <comment ref="B747" authorId="1" shapeId="0" xr:uid="{00000000-0006-0000-0200-00001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$166.000.- Venta Café BOARÈ</t>
        </r>
      </text>
    </comment>
    <comment ref="D747" authorId="1" shapeId="0" xr:uid="{00000000-0006-0000-0200-00001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Pago Cata
- Colación.
- Coca Cola.
- Letrero
- Petroleo</t>
        </r>
      </text>
    </comment>
    <comment ref="E747" authorId="1" shapeId="0" xr:uid="{00000000-0006-0000-0200-00001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Cobertura chocolate, Carabella disco dark
- Azucar Flor</t>
        </r>
      </text>
    </comment>
    <comment ref="B748" authorId="1" shapeId="0" xr:uid="{00000000-0006-0000-0200-00001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$1130.800.- Venta Café BOARÉ</t>
        </r>
      </text>
    </comment>
    <comment ref="D748" authorId="1" shapeId="0" xr:uid="{00000000-0006-0000-0200-00001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Pago Cata</t>
        </r>
      </text>
    </comment>
    <comment ref="D749" authorId="1" shapeId="0" xr:uid="{00000000-0006-0000-0200-00001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751" authorId="1" shapeId="0" xr:uid="{00000000-0006-0000-0200-00001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Macroled</t>
        </r>
      </text>
    </comment>
    <comment ref="E753" authorId="1" shapeId="0" xr:uid="{00000000-0006-0000-0200-00001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Tito Pal.
- Super ganga.
- Queso.</t>
        </r>
      </text>
    </comment>
    <comment ref="E760" authorId="1" shapeId="0" xr:uid="{00000000-0006-0000-0200-00001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Insumos tabla de picoteo.
- Huevos</t>
        </r>
      </text>
    </comment>
    <comment ref="E762" authorId="1" shapeId="0" xr:uid="{00000000-0006-0000-0200-00001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Pechugas Jumbo</t>
        </r>
      </text>
    </comment>
    <comment ref="D763" authorId="1" shapeId="0" xr:uid="{00000000-0006-0000-0200-00002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E763" authorId="1" shapeId="0" xr:uid="{00000000-0006-0000-0200-00002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
- Choicilate Merquén
- Saldaña.
- Jumbo</t>
        </r>
      </text>
    </comment>
    <comment ref="E764" authorId="1" shapeId="0" xr:uid="{00000000-0006-0000-0200-000022010000}">
      <text>
        <r>
          <rPr>
            <b/>
            <sz val="9"/>
            <color indexed="81"/>
            <rFont val="Tahoma"/>
            <family val="2"/>
          </rPr>
          <t>Packard Bell:
- Harina Jumbo</t>
        </r>
      </text>
    </comment>
    <comment ref="D765" authorId="1" shapeId="0" xr:uid="{00000000-0006-0000-0200-00002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Pago Garzones.</t>
        </r>
      </text>
    </comment>
    <comment ref="D766" authorId="1" shapeId="0" xr:uid="{00000000-0006-0000-0200-00002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Petroleo Boisier</t>
        </r>
      </text>
    </comment>
    <comment ref="D769" authorId="1" shapeId="0" xr:uid="{00000000-0006-0000-0200-00002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El Volcán.
- Arrocera</t>
        </r>
      </text>
    </comment>
    <comment ref="E769" authorId="1" shapeId="0" xr:uid="{00000000-0006-0000-0200-00002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Agua saborizada.
- Leche evaporada
- Pechugas
- Aceitunas.
- Tito pal</t>
        </r>
      </text>
    </comment>
    <comment ref="E770" authorId="1" shapeId="0" xr:uid="{00000000-0006-0000-0200-00002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Pechugas.
. Lechuga.
- Pan molde</t>
        </r>
      </text>
    </comment>
    <comment ref="D771" authorId="1" shapeId="0" xr:uid="{00000000-0006-0000-0200-00002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 Pauli</t>
        </r>
      </text>
    </comment>
    <comment ref="F779" authorId="1" shapeId="0" xr:uid="{00000000-0006-0000-0200-00002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 18550
- Jumbo.
- Cambio de aceite auto</t>
        </r>
      </text>
    </comment>
    <comment ref="F780" authorId="1" shapeId="0" xr:uid="{00000000-0006-0000-0200-00002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Tito Pal.
- Queso</t>
        </r>
      </text>
    </comment>
    <comment ref="F781" authorId="1" shapeId="0" xr:uid="{00000000-0006-0000-0200-00002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Unnimarc</t>
        </r>
      </text>
    </comment>
    <comment ref="F782" authorId="1" shapeId="0" xr:uid="{00000000-0006-0000-0200-00002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Unimarc.
- Salmón</t>
        </r>
      </text>
    </comment>
    <comment ref="F783" authorId="1" shapeId="0" xr:uid="{00000000-0006-0000-0200-00002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Maximiliano Ralmi
- Sueldo Lili</t>
        </r>
      </text>
    </comment>
    <comment ref="F784" authorId="1" shapeId="0" xr:uid="{00000000-0006-0000-0200-00002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Lider.
- Bencina.
- Pan de tapaditos.
- Tintura Bancos</t>
        </r>
      </text>
    </comment>
    <comment ref="F785" authorId="1" shapeId="0" xr:uid="{00000000-0006-0000-0200-00002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Aceite de oliva.
- Queso Villarica.
- Mayorista Ganga.</t>
        </r>
      </text>
    </comment>
    <comment ref="F786" authorId="1" shapeId="0" xr:uid="{00000000-0006-0000-0200-00003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Lider.
- Harina.
- Jumbo</t>
        </r>
      </text>
    </comment>
    <comment ref="F787" authorId="1" shapeId="0" xr:uid="{00000000-0006-0000-0200-00003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 Juany.
- Bencina auto.
- Carne.</t>
        </r>
      </text>
    </comment>
    <comment ref="F788" authorId="1" shapeId="0" xr:uid="{00000000-0006-0000-0200-00003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Macarons
- Papas fritas</t>
        </r>
      </text>
    </comment>
    <comment ref="F790" authorId="1" shapeId="0" xr:uid="{00000000-0006-0000-0200-00003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Cotillon
- Harina.
- Huevos.
- Queso
- Carne</t>
        </r>
      </text>
    </comment>
    <comment ref="F791" authorId="1" shapeId="0" xr:uid="{00000000-0006-0000-0200-00003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Carne.
- Huevos.
- Huesillo.
- Mote</t>
        </r>
      </text>
    </comment>
    <comment ref="D792" authorId="1" shapeId="0" xr:uid="{00000000-0006-0000-0200-00003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11"/>
            <color indexed="81"/>
            <rFont val="Tahoma"/>
            <family val="2"/>
          </rPr>
          <t>Almuerzo fiestas Patrias UDD $316.540.</t>
        </r>
      </text>
    </comment>
    <comment ref="D793" authorId="1" shapeId="0" xr:uid="{00000000-0006-0000-0200-00003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- Asado fiestas patrias "La Araucana" $180.000</t>
        </r>
      </text>
    </comment>
    <comment ref="F793" authorId="1" shapeId="0" xr:uid="{00000000-0006-0000-0200-00003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</t>
        </r>
      </text>
    </comment>
    <comment ref="D795" authorId="1" shapeId="0" xr:uid="{00000000-0006-0000-0200-00003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 - 30 DOCENAS EMPANADAS COPEC</t>
        </r>
      </text>
    </comment>
    <comment ref="F795" authorId="1" shapeId="0" xr:uid="{00000000-0006-0000-0200-00003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Sueldos</t>
        </r>
      </text>
    </comment>
    <comment ref="F797" authorId="1" shapeId="0" xr:uid="{00000000-0006-0000-0200-00003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Frambuesas congeladas.</t>
        </r>
      </text>
    </comment>
    <comment ref="F798" authorId="1" shapeId="0" xr:uid="{00000000-0006-0000-0200-00003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Harina.
- Impuestos
- Bencina</t>
        </r>
      </text>
    </comment>
    <comment ref="F799" authorId="1" shapeId="0" xr:uid="{00000000-0006-0000-0200-00003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 - Jamón para pizza</t>
        </r>
      </text>
    </comment>
    <comment ref="F800" authorId="1" shapeId="0" xr:uid="{00000000-0006-0000-0200-00003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
- Palta.
- Queso Crema.</t>
        </r>
      </text>
    </comment>
    <comment ref="F803" authorId="1" shapeId="0" xr:uid="{00000000-0006-0000-0200-00003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Vanni</t>
        </r>
      </text>
    </comment>
    <comment ref="F805" authorId="1" shapeId="0" xr:uid="{00000000-0006-0000-0200-00003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Café cola de  mono
- Bencina.
- Guantes farmacia.
- Tito pal.
- Estacionamiento.
- Vasos.</t>
        </r>
      </text>
    </comment>
    <comment ref="F807" authorId="1" shapeId="0" xr:uid="{00000000-0006-0000-0200-00004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F813" authorId="1" shapeId="0" xr:uid="{00000000-0006-0000-0200-00004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Jamón.
- Gas.
- Palta
- huevos</t>
        </r>
      </text>
    </comment>
    <comment ref="D814" authorId="1" shapeId="0" xr:uid="{00000000-0006-0000-0200-00004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Coffe</t>
        </r>
      </text>
    </comment>
    <comment ref="F814" authorId="1" shapeId="0" xr:uid="{00000000-0006-0000-0200-00004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Carro porta cajas.
- Garzones
- Arriendo vajilla
- Lider</t>
        </r>
      </text>
    </comment>
    <comment ref="F815" authorId="1" shapeId="0" xr:uid="{00000000-0006-0000-0200-00004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Petroleo</t>
        </r>
      </text>
    </comment>
    <comment ref="F816" authorId="1" shapeId="0" xr:uid="{00000000-0006-0000-0200-00004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Manjar.
- Sueldo Lili.
- Bencina. 
- Margarina de horneo</t>
        </r>
      </text>
    </comment>
    <comment ref="F817" authorId="1" shapeId="0" xr:uid="{00000000-0006-0000-0200-00004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Café</t>
        </r>
      </text>
    </comment>
    <comment ref="F818" authorId="1" shapeId="0" xr:uid="{00000000-0006-0000-0200-00004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Sumup
- Sueldo Cata.
- Piso.
- Jardinaera.</t>
        </r>
      </text>
    </comment>
    <comment ref="F819" authorId="1" shapeId="0" xr:uid="{00000000-0006-0000-0200-00004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Alvi.
</t>
        </r>
      </text>
    </comment>
    <comment ref="F820" authorId="1" shapeId="0" xr:uid="{00000000-0006-0000-0200-00004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Unimarc.
- Pino Bancas estadio 39340</t>
        </r>
      </text>
    </comment>
    <comment ref="F823" authorId="1" shapeId="0" xr:uid="{00000000-0006-0000-0200-00004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
- Topper.
- Chocolate y mantequilla.</t>
        </r>
      </text>
    </comment>
    <comment ref="F824" authorId="1" shapeId="0" xr:uid="{00000000-0006-0000-0200-00004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Pulpa de cerdo</t>
        </r>
      </text>
    </comment>
    <comment ref="F826" authorId="1" shapeId="0" xr:uid="{00000000-0006-0000-0200-00004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-Pan Tapadito.
- aguas saborizadas.
- Pechugas.
- Queso Cheddar</t>
        </r>
      </text>
    </comment>
    <comment ref="F828" authorId="1" shapeId="0" xr:uid="{00000000-0006-0000-0200-00004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Sachet azúcar.
- Pan tapaditos.
- Garzones.
- Bencina</t>
        </r>
      </text>
    </comment>
    <comment ref="F829" authorId="1" shapeId="0" xr:uid="{00000000-0006-0000-0200-00004E010000}">
      <text>
        <r>
          <rPr>
            <b/>
            <sz val="9"/>
            <color indexed="81"/>
            <rFont val="Tahoma"/>
            <family val="2"/>
          </rPr>
          <t>Packpard Bell:</t>
        </r>
        <r>
          <rPr>
            <sz val="9"/>
            <color indexed="81"/>
            <rFont val="Tahoma"/>
            <family val="2"/>
          </rPr>
          <t xml:space="preserve">
- Vasos bajos.
- Jugos watts.
- Tito Pal</t>
        </r>
      </text>
    </comment>
    <comment ref="F830" authorId="1" shapeId="0" xr:uid="{00000000-0006-0000-0200-00004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Queso-
- Bauplan.. 28720
</t>
        </r>
      </text>
    </comment>
    <comment ref="F831" authorId="1" shapeId="0" xr:uid="{00000000-0006-0000-0200-00005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Pino bancas estadio 7380</t>
        </r>
      </text>
    </comment>
    <comment ref="F833" authorId="1" shapeId="0" xr:uid="{00000000-0006-0000-0200-00005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hamburguesas</t>
        </r>
      </text>
    </comment>
    <comment ref="F834" authorId="1" shapeId="0" xr:uid="{00000000-0006-0000-0200-00005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Petróleo
-Lider.
Licuadora
- Queso crema.
- Huevos</t>
        </r>
      </text>
    </comment>
    <comment ref="F835" authorId="1" shapeId="0" xr:uid="{00000000-0006-0000-0200-00005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Palta. 
- Intrruptor automático.
- Pino 25830
- Tottus (carne, queso, champiñones)</t>
        </r>
      </text>
    </comment>
    <comment ref="F836" authorId="1" shapeId="0" xr:uid="{00000000-0006-0000-0200-00005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- 3 mallas de cebollas.
- Saldaña.
- Condimentos.
- Bencina
- Sodimac Pino 7800</t>
        </r>
      </text>
    </comment>
    <comment ref="F837" authorId="1" shapeId="0" xr:uid="{00000000-0006-0000-0200-00005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Cepillado madera
- Fierros escuadra $10104
- Levadura, margarina</t>
        </r>
      </text>
    </comment>
    <comment ref="F838" authorId="1" shapeId="0" xr:uid="{00000000-0006-0000-0200-00005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Easy
- Sodimac</t>
        </r>
      </text>
    </comment>
    <comment ref="F840" authorId="1" shapeId="0" xr:uid="{00000000-0006-0000-0200-00005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
- Manjar, queso.
- Barniz.</t>
        </r>
      </text>
    </comment>
    <comment ref="F841" authorId="1" shapeId="0" xr:uid="{00000000-0006-0000-0200-00005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F842" authorId="1" shapeId="0" xr:uid="{00000000-0006-0000-0200-00005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Almapac
- Acuenta.
- Huevos</t>
        </r>
      </text>
    </comment>
    <comment ref="F843" authorId="1" shapeId="0" xr:uid="{00000000-0006-0000-0200-00005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Chocolate- Merkén.
</t>
        </r>
      </text>
    </comment>
    <comment ref="F848" authorId="1" shapeId="0" xr:uid="{00000000-0006-0000-0200-00005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- 40.000 jioaco</t>
        </r>
      </text>
    </comment>
    <comment ref="F851" authorId="1" shapeId="0" xr:uid="{00000000-0006-0000-0200-00005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Chocolate Merken.
    Puratos.
- Huevos.</t>
        </r>
      </text>
    </comment>
    <comment ref="F852" authorId="1" shapeId="0" xr:uid="{00000000-0006-0000-0200-00005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Cotillón.
- Queso mantecoso</t>
        </r>
      </text>
    </comment>
    <comment ref="F854" authorId="1" shapeId="0" xr:uid="{00000000-0006-0000-0200-00005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asado Maria Jose</t>
        </r>
      </text>
    </comment>
    <comment ref="F855" authorId="1" shapeId="0" xr:uid="{00000000-0006-0000-0200-00005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</t>
        </r>
      </text>
    </comment>
    <comment ref="F858" authorId="1" shapeId="0" xr:uid="{00000000-0006-0000-0200-00006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F863" authorId="1" shapeId="0" xr:uid="{00000000-0006-0000-0200-00006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Lider.
- Tela Manteles.
- Grasa Liquida.
- Leche condensada</t>
        </r>
      </text>
    </comment>
    <comment ref="F864" authorId="1" shapeId="0" xr:uid="{00000000-0006-0000-0200-00006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 
- Bencina.</t>
        </r>
      </text>
    </comment>
    <comment ref="F865" authorId="1" shapeId="0" xr:uid="{00000000-0006-0000-0200-00006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jd.
- Jumbo.
- carbón</t>
        </r>
      </text>
    </comment>
    <comment ref="D866" authorId="1" shapeId="0" xr:uid="{00000000-0006-0000-0200-00006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Cofee Caja de compensación La Araucana</t>
        </r>
      </text>
    </comment>
    <comment ref="F866" authorId="1" shapeId="0" xr:uid="{00000000-0006-0000-0200-00006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Garzones.
- Vega.
- Javi.
- Parlante.</t>
        </r>
      </text>
    </comment>
    <comment ref="F867" authorId="1" shapeId="0" xr:uid="{00000000-0006-0000-0200-00006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Vasos.
- Leche.
- Margarina</t>
        </r>
      </text>
    </comment>
    <comment ref="F870" authorId="1" shapeId="0" xr:uid="{00000000-0006-0000-0200-00006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Focos cocina.
- Hilos cocer manteles.
- Vanni</t>
        </r>
      </text>
    </comment>
    <comment ref="F871" authorId="1" shapeId="0" xr:uid="{00000000-0006-0000-0200-00006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Placa 3mm sodimac</t>
        </r>
      </text>
    </comment>
    <comment ref="F872" authorId="1" shapeId="0" xr:uid="{00000000-0006-0000-0200-00006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empanadas
- Queso.</t>
        </r>
      </text>
    </comment>
    <comment ref="F873" authorId="1" shapeId="0" xr:uid="{00000000-0006-0000-0200-00006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Percolador
- Cebolla malla.
- Delantales</t>
        </r>
      </text>
    </comment>
    <comment ref="F874" authorId="1" shapeId="0" xr:uid="{00000000-0006-0000-0200-00006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Sodimac
- Jumbo.</t>
        </r>
      </text>
    </comment>
    <comment ref="F875" authorId="1" shapeId="0" xr:uid="{00000000-0006-0000-0200-00006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Easy tintura.
- Lider</t>
        </r>
      </text>
    </comment>
    <comment ref="F877" authorId="1" shapeId="0" xr:uid="{00000000-0006-0000-0200-00006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 
- Jumbo.
- Unimarc.
- Gas.</t>
        </r>
      </text>
    </comment>
    <comment ref="F882" authorId="1" shapeId="0" xr:uid="{00000000-0006-0000-0200-00006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Pago Joaco.
-Pago Javiera..
- Carne.
- Vanni.
- Petroleo.
- El Volcán</t>
        </r>
      </text>
    </comment>
    <comment ref="D883" authorId="1" shapeId="0" xr:uid="{00000000-0006-0000-0200-00006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Evento Felipe, asado Yumbel.
- Cumpleaños Carla contadora.
</t>
        </r>
      </text>
    </comment>
    <comment ref="F885" authorId="1" shapeId="0" xr:uid="{00000000-0006-0000-0200-00007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Huevos.
- Cocteleria Huachipato:
   Posta negra.   
   Pan medio Baguette.
   Pan de miga.
   Jamón
   Queso
- Bencina.</t>
        </r>
      </text>
    </comment>
    <comment ref="F886" authorId="1" shapeId="0" xr:uid="{00000000-0006-0000-0200-00007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Manjar </t>
        </r>
      </text>
    </comment>
    <comment ref="F888" authorId="1" shapeId="0" xr:uid="{00000000-0006-0000-0200-00007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 Santa Fe.</t>
        </r>
      </text>
    </comment>
    <comment ref="F891" authorId="1" shapeId="0" xr:uid="{00000000-0006-0000-0200-00007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
- Azúcar.
- Chancaca.</t>
        </r>
      </text>
    </comment>
    <comment ref="F892" authorId="1" shapeId="0" xr:uid="{00000000-0006-0000-0200-00007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Zanahorias.</t>
        </r>
      </text>
    </comment>
    <comment ref="F895" authorId="1" shapeId="0" xr:uid="{00000000-0006-0000-0200-00007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Cuchillo Wayu.
- Leche.
- Gas soplete</t>
        </r>
      </text>
    </comment>
    <comment ref="F896" authorId="1" shapeId="0" xr:uid="{00000000-0006-0000-0200-00007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F897" authorId="1" shapeId="0" xr:uid="{00000000-0006-0000-0200-00007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Unimarc.</t>
        </r>
      </text>
    </comment>
    <comment ref="F898" authorId="1" shapeId="0" xr:uid="{00000000-0006-0000-0200-00007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
- Ostiones.
- Tomate Cherry
- Bencina</t>
        </r>
      </text>
    </comment>
    <comment ref="F899" authorId="1" shapeId="0" xr:uid="{00000000-0006-0000-0200-00007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Petroleo Santa Fé</t>
        </r>
      </text>
    </comment>
    <comment ref="F900" authorId="1" shapeId="0" xr:uid="{00000000-0006-0000-0200-00007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Pechuga unimarc
- Salmón.
- Gas.</t>
        </r>
      </text>
    </comment>
    <comment ref="F901" authorId="1" shapeId="0" xr:uid="{00000000-0006-0000-0200-00007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Huevos.
- Unimarc.</t>
        </r>
      </text>
    </comment>
    <comment ref="F902" authorId="1" shapeId="0" xr:uid="{00000000-0006-0000-0200-00007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ambiante.
- Manjar.
- Leche</t>
        </r>
      </text>
    </comment>
    <comment ref="F904" authorId="1" shapeId="0" xr:uid="{00000000-0006-0000-0200-00007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
- Vega.
- Queso crema.</t>
        </r>
      </text>
    </comment>
    <comment ref="F905" authorId="1" shapeId="0" xr:uid="{00000000-0006-0000-0200-00007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Jamón.</t>
        </r>
      </text>
    </comment>
    <comment ref="F906" authorId="1" shapeId="0" xr:uid="{00000000-0006-0000-0200-00007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Chancaca.
- Azúcar Flor.
- Bencina
</t>
        </r>
      </text>
    </comment>
    <comment ref="F907" authorId="1" shapeId="0" xr:uid="{00000000-0006-0000-0200-00008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Notaria.
- Graficas Calibrí.
- Tostaduria Saldaña.
- Harina.
- Vanni.</t>
        </r>
      </text>
    </comment>
    <comment ref="F908" authorId="1" shapeId="0" xr:uid="{00000000-0006-0000-0200-00008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D910" authorId="1" shapeId="0" xr:uid="{00000000-0006-0000-0200-00008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$68.000 Closet</t>
        </r>
      </text>
    </comment>
    <comment ref="F910" authorId="1" shapeId="0" xr:uid="{00000000-0006-0000-0200-00008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Limón
- Queso</t>
        </r>
      </text>
    </comment>
    <comment ref="F916" authorId="1" shapeId="0" xr:uid="{00000000-0006-0000-0200-00008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Paltas
- Parlante
- Pechuga.
- Salame</t>
        </r>
      </text>
    </comment>
    <comment ref="F917" authorId="1" shapeId="0" xr:uid="{00000000-0006-0000-0200-00008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Queso gauda - vega</t>
        </r>
      </text>
    </comment>
    <comment ref="F918" authorId="1" shapeId="0" xr:uid="{00000000-0006-0000-0200-00008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-Huevos.
- Tostaduria.</t>
        </r>
      </text>
    </comment>
    <comment ref="F919" authorId="1" shapeId="0" xr:uid="{00000000-0006-0000-0200-00008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Pino tapa cajones</t>
        </r>
      </text>
    </comment>
    <comment ref="F921" authorId="1" shapeId="0" xr:uid="{00000000-0006-0000-0200-00008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F922" authorId="1" shapeId="0" xr:uid="{00000000-0006-0000-0200-00008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Pino para división de mueble.
- MDF para cajas de vasos.
- Térmometro para carne.
- Veneno ratones.
- Adaptador 90º destornillador  Dewalt.
- Macarrons.
- Pulpas de maracuyá.
- Saldaña
- 20 Platos EL VOLCÁN</t>
        </r>
      </text>
    </comment>
    <comment ref="F923" authorId="1" shapeId="0" xr:uid="{00000000-0006-0000-0200-00008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Pechuga, desayuno Felipe</t>
        </r>
      </text>
    </comment>
    <comment ref="F924" authorId="1" shapeId="0" xr:uid="{00000000-0006-0000-0200-00008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Súper Unimarc</t>
        </r>
      </text>
    </comment>
    <comment ref="F926" authorId="1" shapeId="0" xr:uid="{00000000-0006-0000-0200-00008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ambiante y manjar</t>
        </r>
      </text>
    </comment>
    <comment ref="F927" authorId="1" shapeId="0" xr:uid="{00000000-0006-0000-0200-00008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
- Tomate-
- Pechuga.
- Limón.</t>
        </r>
      </text>
    </comment>
    <comment ref="C928" authorId="1" shapeId="0" xr:uid="{00000000-0006-0000-0200-00008E010000}">
      <text>
        <r>
          <rPr>
            <b/>
            <sz val="9"/>
            <color indexed="81"/>
            <rFont val="Tahoma"/>
            <family val="2"/>
          </rPr>
          <t>DIA DE LA MADRE</t>
        </r>
        <r>
          <rPr>
            <sz val="9"/>
            <color indexed="81"/>
            <rFont val="Tahoma"/>
            <family val="2"/>
          </rPr>
          <t xml:space="preserve">
- 16 Box postres
- 3 tortas amor
- 4 tortas 5 leches.
- 2 red velvet.
- 1 desayuno.
- 48 empanadas</t>
        </r>
      </text>
    </comment>
    <comment ref="F928" authorId="1" shapeId="0" xr:uid="{00000000-0006-0000-0200-00008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
- Alfajores de colores.
</t>
        </r>
      </text>
    </comment>
    <comment ref="F929" authorId="1" shapeId="0" xr:uid="{00000000-0006-0000-0200-00009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Machete EL VOLCÁN</t>
        </r>
      </text>
    </comment>
    <comment ref="F931" authorId="1" shapeId="0" xr:uid="{00000000-0006-0000-0200-00009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Margarina</t>
        </r>
      </text>
    </comment>
    <comment ref="F934" authorId="1" shapeId="0" xr:uid="{00000000-0006-0000-0200-00009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F936" authorId="1" shapeId="0" xr:uid="{00000000-0006-0000-0200-00009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
-Bencina</t>
        </r>
      </text>
    </comment>
    <comment ref="F937" authorId="1" shapeId="0" xr:uid="{00000000-0006-0000-0200-00009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938" authorId="1" shapeId="0" xr:uid="{00000000-0006-0000-0200-00009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Super.
- Ruedas Parrilla 
- Mesa parrilla.</t>
        </r>
      </text>
    </comment>
    <comment ref="F939" authorId="1" shapeId="0" xr:uid="{00000000-0006-0000-0200-00009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Queso.
- Mantequilla.
- Crema.</t>
        </r>
      </text>
    </comment>
    <comment ref="F940" authorId="1" shapeId="0" xr:uid="{00000000-0006-0000-0200-00009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Fierros Parrilla.
- Flexometro.
- Placa mdf.</t>
        </r>
      </text>
    </comment>
    <comment ref="F941" authorId="1" shapeId="0" xr:uid="{00000000-0006-0000-0200-00009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Carne.
- Pan Baguette.
</t>
        </r>
      </text>
    </comment>
    <comment ref="F942" authorId="1" shapeId="0" xr:uid="{00000000-0006-0000-0200-00009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Aguas para asados.
- Vino.
- Cervezas.
- Leche condensada.</t>
        </r>
      </text>
    </comment>
    <comment ref="F943" authorId="1" shapeId="0" xr:uid="{00000000-0006-0000-0200-00009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Soldadura.
- Iman cuchillos.
- Cortapiza.
- Pan Frica.
- STEWARD
  Percolador
  Bandejas de garzón.
  Platos.
  Tazas.</t>
        </r>
      </text>
    </comment>
    <comment ref="F944" authorId="1" shapeId="0" xr:uid="{00000000-0006-0000-0200-00009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Ruedas parrilla.
. Autoperforantes 1"
- Pino piso parriilla.</t>
        </r>
      </text>
    </comment>
    <comment ref="F945" authorId="1" shapeId="0" xr:uid="{00000000-0006-0000-0200-00009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Carne JD.
- Longaniza.
- Soprole</t>
        </r>
      </text>
    </comment>
    <comment ref="F949" authorId="1" shapeId="0" xr:uid="{00000000-0006-0000-0200-00009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Mlino de pimienta</t>
        </r>
      </text>
    </comment>
    <comment ref="F952" authorId="1" shapeId="0" xr:uid="{00000000-0006-0000-0200-00009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Set cucharas medidoras.
- Pino repisas</t>
        </r>
      </text>
    </comment>
    <comment ref="F954" authorId="1" shapeId="0" xr:uid="{00000000-0006-0000-0200-00009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-Tazones para carla.
-Carnes JD asado Claudia.
- Harina.
- Huevos.
- Queso crema.</t>
        </r>
      </text>
    </comment>
    <comment ref="F956" authorId="1" shapeId="0" xr:uid="{00000000-0006-0000-0200-0000A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-Bencina</t>
        </r>
      </text>
    </comment>
    <comment ref="F960" authorId="1" shapeId="0" xr:uid="{00000000-0006-0000-0200-0000A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Alvi</t>
        </r>
      </text>
    </comment>
    <comment ref="F962" authorId="1" shapeId="0" xr:uid="{00000000-0006-0000-0200-0000A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 gauda.
- Caja Huevos.
- Limones.
- Zapallos</t>
        </r>
      </text>
    </comment>
    <comment ref="F965" authorId="1" shapeId="0" xr:uid="{00000000-0006-0000-0200-0000A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Cebollas.
- Carne.
- Vanni</t>
        </r>
      </text>
    </comment>
    <comment ref="F967" authorId="1" shapeId="0" xr:uid="{00000000-0006-0000-0200-0000A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968" authorId="1" shapeId="0" xr:uid="{00000000-0006-0000-0200-0000A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Carne
- Lava lozas</t>
        </r>
      </text>
    </comment>
    <comment ref="F970" authorId="1" shapeId="0" xr:uid="{00000000-0006-0000-0200-0000A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El Volcán, platos.</t>
        </r>
      </text>
    </comment>
    <comment ref="F971" authorId="1" shapeId="0" xr:uid="{00000000-0006-0000-0200-0000A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 gauda.
- Longanizas.</t>
        </r>
      </text>
    </comment>
    <comment ref="F973" authorId="1" shapeId="0" xr:uid="{00000000-0006-0000-0200-0000A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
- Carne
- Unimarc: Azúcar flor
               Azúcar rubia.
               </t>
        </r>
      </text>
    </comment>
    <comment ref="F974" authorId="1" shapeId="0" xr:uid="{00000000-0006-0000-0200-0000A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Harina
- Gelatina, pimentón, levadura.
- Bencina.
- Carne empanadas.
- Vanni</t>
        </r>
      </text>
    </comment>
    <comment ref="F988" authorId="1" shapeId="0" xr:uid="{00000000-0006-0000-0200-0000A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y peajes Quillón</t>
        </r>
      </text>
    </comment>
    <comment ref="F990" authorId="1" shapeId="0" xr:uid="{00000000-0006-0000-0200-0000A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F991" authorId="1" shapeId="0" xr:uid="{00000000-0006-0000-0200-0000A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F992" authorId="1" shapeId="0" xr:uid="{00000000-0006-0000-0200-0000A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Café con Miguel
- Lámina foto torta</t>
        </r>
      </text>
    </comment>
    <comment ref="F994" authorId="1" shapeId="0" xr:uid="{00000000-0006-0000-0200-0000A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 Mariscos</t>
        </r>
      </text>
    </comment>
    <comment ref="F995" authorId="1" shapeId="0" xr:uid="{00000000-0006-0000-0200-0000A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Contadora</t>
        </r>
      </text>
    </comment>
    <comment ref="F996" authorId="1" shapeId="0" xr:uid="{00000000-0006-0000-0200-0000B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
- Combustible.
- Super</t>
        </r>
      </text>
    </comment>
    <comment ref="F997" authorId="1" shapeId="0" xr:uid="{00000000-0006-0000-0200-0000B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Pan de tapaditos 
- Crackelet.
- Soprole</t>
        </r>
      </text>
    </comment>
    <comment ref="F998" authorId="1" shapeId="0" xr:uid="{00000000-0006-0000-0200-0000B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Campiñon.
- Copas flauta
- Carne para tapaditos</t>
        </r>
      </text>
    </comment>
    <comment ref="F999" authorId="1" shapeId="0" xr:uid="{00000000-0006-0000-0200-0000B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-Huevos</t>
        </r>
      </text>
    </comment>
    <comment ref="F1000" authorId="1" shapeId="0" xr:uid="{00000000-0006-0000-0200-0000B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Parrilla</t>
        </r>
      </text>
    </comment>
    <comment ref="F1002" authorId="1" shapeId="0" xr:uid="{00000000-0006-0000-0200-0000B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Fierros parrillla</t>
        </r>
      </text>
    </comment>
    <comment ref="F1004" authorId="1" shapeId="0" xr:uid="{00000000-0006-0000-0200-0000B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Fierros</t>
        </r>
      </text>
    </comment>
    <comment ref="F1005" authorId="1" shapeId="0" xr:uid="{00000000-0006-0000-0200-0000B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Fierros.
-Pintura alta temperatura
- Cortadores de galletas</t>
        </r>
      </text>
    </comment>
    <comment ref="F1007" authorId="1" shapeId="0" xr:uid="{00000000-0006-0000-0200-0000B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"JD"
- Madera para banca pepa.
-Pintura alta temp.</t>
        </r>
      </text>
    </comment>
    <comment ref="F1008" authorId="1" shapeId="0" xr:uid="{00000000-0006-0000-0200-0000B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 casa</t>
        </r>
      </text>
    </comment>
    <comment ref="F1009" authorId="1" shapeId="0" xr:uid="{00000000-0006-0000-0200-0000B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Ruedas parrilla.
-Tubo Ruedas</t>
        </r>
      </text>
    </comment>
    <comment ref="F1010" authorId="1" shapeId="0" xr:uid="{00000000-0006-0000-0200-0000B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Fierro redondo ruedas parrilla.
</t>
        </r>
      </text>
    </comment>
    <comment ref="F1013" authorId="1" shapeId="0" xr:uid="{00000000-0006-0000-0200-0000B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-Bencina</t>
        </r>
      </text>
    </comment>
    <comment ref="F1017" authorId="1" shapeId="0" xr:uid="{00000000-0006-0000-0200-0000B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Sodimac
- Supermercado del confite</t>
        </r>
      </text>
    </comment>
    <comment ref="F1018" authorId="1" shapeId="0" xr:uid="{00000000-0006-0000-0200-0000B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Benciina</t>
        </r>
      </text>
    </comment>
    <comment ref="F1025" authorId="1" shapeId="0" xr:uid="{00000000-0006-0000-0200-0000B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Huevos.
- Nuevo amanecer (matrimonio Julio)
- Vega.
- Librería
- Fresas.
- Salmón</t>
        </r>
      </text>
    </comment>
    <comment ref="F1026" authorId="1" shapeId="0" xr:uid="{00000000-0006-0000-0200-0000C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Trago Matrimonio Julio.</t>
        </r>
      </text>
    </comment>
    <comment ref="F1027" authorId="1" shapeId="0" xr:uid="{00000000-0006-0000-0200-0000C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Carro Porta cajas.
- Jumbo.
- Pechuga de pollo.</t>
        </r>
      </text>
    </comment>
    <comment ref="F1029" authorId="1" shapeId="0" xr:uid="{00000000-0006-0000-0200-0000C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Copas.
- Bencina.
- Malla raschel.
- Galletas oreo.</t>
        </r>
      </text>
    </comment>
    <comment ref="F1030" authorId="1" shapeId="0" xr:uid="{00000000-0006-0000-0200-0000C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Bebidas casamiento.
- Halogenos.
- Hielo.
</t>
        </r>
      </text>
    </comment>
    <comment ref="F1033" authorId="1" shapeId="0" xr:uid="{00000000-0006-0000-0200-0000C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</t>
        </r>
      </text>
    </comment>
    <comment ref="F1036" authorId="1" shapeId="0" xr:uid="{00000000-0006-0000-0200-0000C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
- Soprole.</t>
        </r>
      </text>
    </comment>
    <comment ref="F1040" authorId="1" shapeId="0" xr:uid="{00000000-0006-0000-0200-0000C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Macarons
- Bencina</t>
        </r>
      </text>
    </comment>
    <comment ref="F1043" authorId="1" shapeId="0" xr:uid="{00000000-0006-0000-0200-0000C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Tottus.
- Lider. 
- Bencina</t>
        </r>
      </text>
    </comment>
    <comment ref="F1044" authorId="1" shapeId="0" xr:uid="{00000000-0006-0000-0200-0000C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Alvi.
- Queso Crema.
- Vanni.</t>
        </r>
      </text>
    </comment>
    <comment ref="F1049" authorId="1" shapeId="0" xr:uid="{00000000-0006-0000-0200-0000C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1054" authorId="1" shapeId="0" xr:uid="{00000000-0006-0000-0200-0000C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Lámina de azúcar.
</t>
        </r>
      </text>
    </comment>
    <comment ref="F1057" authorId="1" shapeId="0" xr:uid="{00000000-0006-0000-0200-0000CB010000}">
      <text>
        <r>
          <rPr>
            <b/>
            <sz val="9"/>
            <color indexed="81"/>
            <rFont val="Tahoma"/>
            <family val="2"/>
          </rPr>
          <t>Packard Bell:
- Frutillas</t>
        </r>
      </text>
    </comment>
    <comment ref="F1058" authorId="1" shapeId="0" xr:uid="{00000000-0006-0000-0200-0000C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Cebolla.
- Cilantro.
- Albahaca
- Choclo</t>
        </r>
      </text>
    </comment>
    <comment ref="F1061" authorId="1" shapeId="0" xr:uid="{00000000-0006-0000-0200-0000C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</t>
        </r>
      </text>
    </comment>
    <comment ref="F1062" authorId="1" shapeId="0" xr:uid="{00000000-0006-0000-0200-0000C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Unimarc</t>
        </r>
      </text>
    </comment>
    <comment ref="F1068" authorId="1" shapeId="0" xr:uid="{00000000-0006-0000-0200-0000C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Placa Trupán
- Pino para mueble exibidor de postres</t>
        </r>
      </text>
    </comment>
    <comment ref="F1069" authorId="1" shapeId="0" xr:uid="{00000000-0006-0000-0200-0000D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Vega</t>
        </r>
      </text>
    </comment>
    <comment ref="F1070" authorId="1" shapeId="0" xr:uid="{00000000-0006-0000-0200-0000D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Pechuga.
- Frutillas.</t>
        </r>
      </text>
    </comment>
    <comment ref="F1071" authorId="1" shapeId="0" xr:uid="{00000000-0006-0000-0200-0000D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Corte de trupán para cajas</t>
        </r>
      </text>
    </comment>
    <comment ref="F1072" authorId="1" shapeId="0" xr:uid="{00000000-0006-0000-0200-0000D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F1073" authorId="1" shapeId="0" xr:uid="{00000000-0006-0000-0200-0000D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tottus</t>
        </r>
      </text>
    </comment>
    <comment ref="F1074" authorId="1" shapeId="0" xr:uid="{00000000-0006-0000-0200-0000D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_ Bauplan
- Vega</t>
        </r>
      </text>
    </comment>
    <comment ref="F1075" authorId="1" shapeId="0" xr:uid="{00000000-0006-0000-0200-0000D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Choclo
- Cebolla
- Albahaca
- Pintura para cajas</t>
        </r>
      </text>
    </comment>
    <comment ref="F1076" authorId="1" shapeId="0" xr:uid="{00000000-0006-0000-0200-0000D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Salmón.
- Café en sobres</t>
        </r>
      </text>
    </comment>
    <comment ref="F1078" authorId="1" shapeId="0" xr:uid="{00000000-0006-0000-0200-0000D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F1083" authorId="1" shapeId="0" xr:uid="{00000000-0006-0000-0200-0000D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Petroleo.
- Bencina.
- Ciabatta.
- Pechuga.
- Longanizas.
- Carnes JD.
- Sueldo Constanza.</t>
        </r>
      </text>
    </comment>
    <comment ref="F1085" authorId="1" shapeId="0" xr:uid="{00000000-0006-0000-0200-0000D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
- Agua ardiente.
- Huevos</t>
        </r>
      </text>
    </comment>
    <comment ref="F1087" authorId="1" shapeId="0" xr:uid="{00000000-0006-0000-0200-0000D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Jugos coffe Katia
</t>
        </r>
      </text>
    </comment>
    <comment ref="F1088" authorId="1" shapeId="0" xr:uid="{00000000-0006-0000-0200-0000D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Vasos shot
- Bencina.
- Jugos Katia</t>
        </r>
      </text>
    </comment>
    <comment ref="F1089" authorId="1" shapeId="0" xr:uid="{00000000-0006-0000-0200-0000D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
- Cencusud.</t>
        </r>
      </text>
    </comment>
    <comment ref="F1092" authorId="1" shapeId="0" xr:uid="{00000000-0006-0000-0200-0000D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-Hielo
- Pisco sour-
- Volcan tazas</t>
        </r>
      </text>
    </comment>
    <comment ref="F1093" authorId="1" shapeId="0" xr:uid="{00000000-0006-0000-0200-0000D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Vasos shot
- Vasos jugo.
- Licor Ramazzoti</t>
        </r>
      </text>
    </comment>
    <comment ref="F1094" authorId="1" shapeId="0" xr:uid="{00000000-0006-0000-0200-0000E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- 3 Sueldos Constanza.
- 1 Sueldo Leandro.</t>
        </r>
      </text>
    </comment>
    <comment ref="F1095" authorId="1" shapeId="0" xr:uid="{00000000-0006-0000-0200-0000E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Vega.
- Jumbo
- Unimarc
- Alvi</t>
        </r>
      </text>
    </comment>
    <comment ref="F1096" authorId="1" shapeId="0" xr:uid="{00000000-0006-0000-0200-0000E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Nestlé-
- Vanni.
- Vega
- Azúcar flor.
- Huevos.
- Vega Guindas</t>
        </r>
      </text>
    </comment>
    <comment ref="F1097" authorId="1" shapeId="0" xr:uid="{00000000-0006-0000-0200-0000E3010000}">
      <text>
        <r>
          <rPr>
            <b/>
            <sz val="9"/>
            <color indexed="81"/>
            <rFont val="Tahoma"/>
            <family val="2"/>
          </rPr>
          <t>Packard Bell:</t>
        </r>
      </text>
    </comment>
    <comment ref="F1098" authorId="1" shapeId="0" xr:uid="{00000000-0006-0000-0200-0000E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Jugos whatt
- Pisco sour (tottus)</t>
        </r>
      </text>
    </comment>
    <comment ref="F1099" authorId="1" shapeId="0" xr:uid="{00000000-0006-0000-0200-0000E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Unimarc.
- Petroleo.</t>
        </r>
      </text>
    </comment>
    <comment ref="F1100" authorId="1" shapeId="0" xr:uid="{00000000-0006-0000-0200-0000E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Alvi.</t>
        </r>
      </text>
    </comment>
    <comment ref="F1101" authorId="1" shapeId="0" xr:uid="{00000000-0006-0000-0200-0000E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Ambiante</t>
        </r>
      </text>
    </comment>
    <comment ref="F1102" authorId="1" shapeId="0" xr:uid="{00000000-0006-0000-0200-0000E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Vega
- Huevos
- Carne</t>
        </r>
      </text>
    </comment>
    <comment ref="F1103" authorId="1" shapeId="0" xr:uid="{00000000-0006-0000-0200-0000E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Lenguas
- Pechugas</t>
        </r>
      </text>
    </comment>
    <comment ref="F1104" authorId="1" shapeId="0" xr:uid="{00000000-0006-0000-0200-0000E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Pendón</t>
        </r>
      </text>
    </comment>
    <comment ref="F1105" authorId="1" shapeId="0" xr:uid="{00000000-0006-0000-0200-0000E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Jumbo
- Gas
- Huevos.
- Petroleo</t>
        </r>
      </text>
    </comment>
    <comment ref="F1106" authorId="1" shapeId="0" xr:uid="{00000000-0006-0000-0200-0000E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Sueldo javiera.
- Sueldo Leandro</t>
        </r>
      </text>
    </comment>
    <comment ref="F1109" authorId="1" shapeId="0" xr:uid="{00000000-0006-0000-0200-0000E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Parte.
- Queso Crema
- Potes 500 grs ceviche.
- Alvi.</t>
        </r>
      </text>
    </comment>
    <comment ref="F1110" authorId="1" shapeId="0" xr:uid="{00000000-0006-0000-0200-0000E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
- Lider.</t>
        </r>
      </text>
    </comment>
    <comment ref="F1118" authorId="1" shapeId="0" xr:uid="{00000000-0006-0000-0200-0000E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Lider</t>
        </r>
      </text>
    </comment>
    <comment ref="F1119" authorId="1" shapeId="0" xr:uid="{00000000-0006-0000-0200-0000F0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Crema, manjar,queso.
- Champiñones.
La sierrra</t>
        </r>
      </text>
    </comment>
    <comment ref="F1120" authorId="1" shapeId="0" xr:uid="{00000000-0006-0000-0200-0000F1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Huevos.
- Minibarra francesa</t>
        </r>
      </text>
    </comment>
    <comment ref="F1123" authorId="1" shapeId="0" xr:uid="{00000000-0006-0000-0200-0000F2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1124" authorId="1" shapeId="0" xr:uid="{00000000-0006-0000-0200-0000F3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1130" authorId="1" shapeId="0" xr:uid="{00000000-0006-0000-0200-0000F4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
- Pan tapaditos</t>
        </r>
      </text>
    </comment>
    <comment ref="F1132" authorId="1" shapeId="0" xr:uid="{00000000-0006-0000-0200-0000F5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Combustible.
- Tottus</t>
        </r>
      </text>
    </comment>
    <comment ref="F1133" authorId="1" shapeId="0" xr:uid="{00000000-0006-0000-0200-0000F6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Poleras</t>
        </r>
      </text>
    </comment>
    <comment ref="F1134" authorId="1" shapeId="0" xr:uid="{00000000-0006-0000-0200-0000F7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Computador.
- Vega.
- Huevos.
- Encomienda.
- Agua ardiente.</t>
        </r>
      </text>
    </comment>
    <comment ref="F1135" authorId="1" shapeId="0" xr:uid="{00000000-0006-0000-0200-0000F8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u/>
            <sz val="11"/>
            <color indexed="81"/>
            <rFont val="Tahoma"/>
            <family val="2"/>
          </rPr>
          <t>Asado Oscar, Recodo</t>
        </r>
        <r>
          <rPr>
            <sz val="9"/>
            <color indexed="81"/>
            <rFont val="Tahoma"/>
            <family val="2"/>
          </rPr>
          <t>.
- Longanizas 15 un.
- Carne JD: 4,9 ks Tapabarriga
                   3,2 ks Pulpa Ahumada
                   2,5 ks Palanca.
- Pollo.
- Pan.
- Carbón</t>
        </r>
      </text>
    </comment>
    <comment ref="F1137" authorId="1" shapeId="0" xr:uid="{00000000-0006-0000-0200-0000F9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F1139" authorId="1" shapeId="0" xr:uid="{00000000-0006-0000-0200-0000FA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Soprole</t>
        </r>
      </text>
    </comment>
    <comment ref="F1140" authorId="1" shapeId="0" xr:uid="{00000000-0006-0000-0200-0000FB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 crema.
- Café</t>
        </r>
      </text>
    </comment>
    <comment ref="F1141" authorId="1" shapeId="0" xr:uid="{00000000-0006-0000-0200-0000FC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</t>
        </r>
      </text>
    </comment>
    <comment ref="F1142" authorId="1" shapeId="0" xr:uid="{00000000-0006-0000-0200-0000FD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Super 10.
- Combustible</t>
        </r>
      </text>
    </comment>
    <comment ref="F1143" authorId="1" shapeId="0" xr:uid="{00000000-0006-0000-0200-0000FE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Pan de tapaditos.</t>
        </r>
      </text>
    </comment>
    <comment ref="F1145" authorId="1" shapeId="0" xr:uid="{00000000-0006-0000-0200-0000FF01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Jumbo.
- Plancha de metal.
- Grata.
- Pintura.</t>
        </r>
      </text>
    </comment>
    <comment ref="F1146" authorId="1" shapeId="0" xr:uid="{00000000-0006-0000-0200-00000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Tapete de silicona antiadherente (el Volcán)</t>
        </r>
      </text>
    </comment>
    <comment ref="F1152" authorId="1" shapeId="0" xr:uid="{00000000-0006-0000-0200-00000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F1156" authorId="1" shapeId="0" xr:uid="{00000000-0006-0000-0200-00000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
- Huevos</t>
        </r>
      </text>
    </comment>
    <comment ref="F1157" authorId="1" shapeId="0" xr:uid="{00000000-0006-0000-0200-00000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Crema Colúm.
- Unimarc.</t>
        </r>
      </text>
    </comment>
    <comment ref="F1158" authorId="1" shapeId="0" xr:uid="{00000000-0006-0000-0200-00000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</t>
        </r>
      </text>
    </comment>
    <comment ref="F1160" authorId="1" shapeId="0" xr:uid="{00000000-0006-0000-0200-00000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</t>
        </r>
      </text>
    </comment>
    <comment ref="F1162" authorId="1" shapeId="0" xr:uid="{00000000-0006-0000-0200-00000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Monterrey café</t>
        </r>
      </text>
    </comment>
    <comment ref="F1163" authorId="1" shapeId="0" xr:uid="{00000000-0006-0000-0200-00000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Chevalier bandejas.
- Jumbo</t>
        </r>
      </text>
    </comment>
    <comment ref="F1166" authorId="1" shapeId="0" xr:uid="{00000000-0006-0000-0200-00000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Pechuga de pollo y palta.
- Combustible</t>
        </r>
      </text>
    </comment>
    <comment ref="F1170" authorId="1" shapeId="0" xr:uid="{00000000-0006-0000-0200-00000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Alvi
- Queso crema.
- Lider.
- Combustible</t>
        </r>
      </text>
    </comment>
    <comment ref="F1171" authorId="1" shapeId="0" xr:uid="{00000000-0006-0000-0200-00000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Garzonas.
- Contadora.
- Vajilleria</t>
        </r>
      </text>
    </comment>
    <comment ref="F1180" authorId="1" shapeId="0" xr:uid="{00000000-0006-0000-0200-00000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Combustible.</t>
        </r>
      </text>
    </comment>
    <comment ref="D1185" authorId="1" shapeId="0" xr:uid="{00000000-0006-0000-0200-00000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Desayunos SKC</t>
        </r>
      </text>
    </comment>
    <comment ref="F1186" authorId="1" shapeId="0" xr:uid="{00000000-0006-0000-0200-00000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Jumbo</t>
        </r>
      </text>
    </comment>
    <comment ref="F1187" authorId="1" shapeId="0" xr:uid="{00000000-0006-0000-0200-00000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Bencina</t>
        </r>
      </text>
    </comment>
    <comment ref="F1190" authorId="1" shapeId="0" xr:uid="{00000000-0006-0000-0200-00000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Huevos.
- Aceitunas
- Almapak
- Cebolla.
- Crema Ambiante.
- Servilletas</t>
        </r>
      </text>
    </comment>
    <comment ref="F1191" authorId="1" shapeId="0" xr:uid="{00000000-0006-0000-0200-00001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Carne Tottus.</t>
        </r>
      </text>
    </comment>
    <comment ref="F1192" authorId="1" shapeId="0" xr:uid="{00000000-0006-0000-0200-000011020000}">
      <text>
        <r>
          <rPr>
            <b/>
            <sz val="9"/>
            <color indexed="81"/>
            <rFont val="Tahoma"/>
            <family val="2"/>
          </rPr>
          <t>Packard Bell:
-Bases de tortas</t>
        </r>
      </text>
    </comment>
    <comment ref="F1193" authorId="1" shapeId="0" xr:uid="{00000000-0006-0000-0200-00001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Almapack.
- Cotillón
- Mozarella</t>
        </r>
      </text>
    </comment>
    <comment ref="F1196" authorId="1" shapeId="0" xr:uid="{00000000-0006-0000-0200-00001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Maicena.
- Jumbo</t>
        </r>
      </text>
    </comment>
    <comment ref="F1197" authorId="1" shapeId="0" xr:uid="{00000000-0006-0000-0200-00001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Maquiver.
- Harina.
- El Peumo</t>
        </r>
      </text>
    </comment>
    <comment ref="F1198" authorId="1" shapeId="0" xr:uid="{00000000-0006-0000-0200-00001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
- Bencina</t>
        </r>
      </text>
    </comment>
    <comment ref="F1199" authorId="1" shapeId="0" xr:uid="{00000000-0006-0000-0200-00001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Vino.
- Aceitunas.
- Sal.</t>
        </r>
      </text>
    </comment>
    <comment ref="F1200" authorId="1" shapeId="0" xr:uid="{00000000-0006-0000-0200-00001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Peumo
-Aceitunas.
-Queso.
-Camarones.
- Cilantro</t>
        </r>
      </text>
    </comment>
    <comment ref="F1201" authorId="1" shapeId="0" xr:uid="{00000000-0006-0000-0200-00001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Sueldos </t>
        </r>
      </text>
    </comment>
    <comment ref="F1204" authorId="1" shapeId="0" xr:uid="{00000000-0006-0000-0200-00001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Contadora.</t>
        </r>
      </text>
    </comment>
    <comment ref="F1205" authorId="1" shapeId="0" xr:uid="{00000000-0006-0000-0200-00001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Soprole.</t>
        </r>
      </text>
    </comment>
    <comment ref="F1206" authorId="1" shapeId="0" xr:uid="{00000000-0006-0000-0200-00001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F1207" authorId="1" shapeId="0" xr:uid="{00000000-0006-0000-0200-00001C020000}">
      <text>
        <r>
          <rPr>
            <b/>
            <sz val="9"/>
            <color indexed="81"/>
            <rFont val="Tahoma"/>
            <family val="2"/>
          </rPr>
          <t>Packard Bell:
- Pino ampliación.</t>
        </r>
      </text>
    </comment>
    <comment ref="F1211" authorId="1" shapeId="0" xr:uid="{00000000-0006-0000-0200-00001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Focos ampliación.</t>
        </r>
      </text>
    </comment>
    <comment ref="F1212" authorId="1" shapeId="0" xr:uid="{00000000-0006-0000-0200-00001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Soprole</t>
        </r>
      </text>
    </comment>
    <comment ref="F1213" authorId="1" shapeId="0" xr:uid="{00000000-0006-0000-0200-00001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Pino cocina</t>
        </r>
      </text>
    </comment>
    <comment ref="F1214" authorId="1" shapeId="0" xr:uid="{00000000-0006-0000-0200-00002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Gas.
- Queso chedar.
- Galletitas choco chip.</t>
        </r>
      </text>
    </comment>
    <comment ref="F1220" authorId="1" shapeId="0" xr:uid="{00000000-0006-0000-0200-00002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Acuenta.
- Unimarc</t>
        </r>
      </text>
    </comment>
    <comment ref="F1221" authorId="1" shapeId="0" xr:uid="{00000000-0006-0000-0200-00002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Balanza.</t>
        </r>
      </text>
    </comment>
    <comment ref="F1222" authorId="1" shapeId="0" xr:uid="{00000000-0006-0000-0200-00002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Cortador de galletas
- grapas.</t>
        </r>
      </text>
    </comment>
    <comment ref="F1223" authorId="1" shapeId="0" xr:uid="{00000000-0006-0000-0200-00002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Pulpa de cerdo para hambuerguesas</t>
        </r>
      </text>
    </comment>
    <comment ref="F1224" authorId="1" shapeId="0" xr:uid="{00000000-0006-0000-0200-00002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Galletas.
- Paltas
- Jugos Watt
- Bencina
</t>
        </r>
      </text>
    </comment>
    <comment ref="F1229" authorId="1" shapeId="0" xr:uid="{00000000-0006-0000-0200-000026020000}">
      <text>
        <r>
          <rPr>
            <b/>
            <sz val="9"/>
            <color indexed="81"/>
            <rFont val="Tahoma"/>
            <family val="2"/>
          </rPr>
          <t>Packard Bell:
- Soprole.</t>
        </r>
      </text>
    </comment>
    <comment ref="F1230" authorId="1" shapeId="0" xr:uid="{00000000-0006-0000-0200-00002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</t>
        </r>
      </text>
    </comment>
    <comment ref="F1231" authorId="1" shapeId="0" xr:uid="{00000000-0006-0000-0200-00002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Aceite de Tung</t>
        </r>
      </text>
    </comment>
    <comment ref="F1232" authorId="1" shapeId="0" xr:uid="{00000000-0006-0000-0200-00002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Harina</t>
        </r>
      </text>
    </comment>
    <comment ref="F1234" authorId="1" shapeId="0" xr:uid="{00000000-0006-0000-0200-00002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-Gas.
- Tuto.</t>
        </r>
      </text>
    </comment>
    <comment ref="F1236" authorId="1" shapeId="0" xr:uid="{00000000-0006-0000-0200-00002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-Soprole</t>
        </r>
      </text>
    </comment>
    <comment ref="F1241" authorId="1" shapeId="0" xr:uid="{00000000-0006-0000-0200-00002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1243" authorId="1" shapeId="0" xr:uid="{00000000-0006-0000-0200-00002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Pulpa de Mango.
- Pulpa de lúcuma.</t>
        </r>
      </text>
    </comment>
    <comment ref="F1244" authorId="1" shapeId="0" xr:uid="{00000000-0006-0000-0200-00002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Productos evento veterinaria S/Pedro.
- Copa flauta.
</t>
        </r>
      </text>
    </comment>
    <comment ref="F1245" authorId="1" shapeId="0" xr:uid="{00000000-0006-0000-0200-00002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Starken, vasos.
- Jumbo.</t>
        </r>
      </text>
    </comment>
    <comment ref="F1247" authorId="1" shapeId="0" xr:uid="{00000000-0006-0000-0200-00003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</t>
        </r>
      </text>
    </comment>
    <comment ref="F1249" authorId="1" shapeId="0" xr:uid="{00000000-0006-0000-0200-00003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Acuenta
</t>
        </r>
      </text>
    </comment>
    <comment ref="F1250" authorId="1" shapeId="0" xr:uid="{00000000-0006-0000-0200-00003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Desayuno SKC.
- Harina 2 sacos.
- Papel antigrasa.
- Vanni.
- Gas.
- Ganga.</t>
        </r>
      </text>
    </comment>
    <comment ref="F1274" authorId="1" shapeId="0" xr:uid="{00000000-0006-0000-0200-00003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Huevos</t>
        </r>
      </text>
    </comment>
    <comment ref="F1279" authorId="1" shapeId="0" xr:uid="{00000000-0006-0000-0200-00003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Bencina</t>
        </r>
      </text>
    </comment>
    <comment ref="F1288" authorId="1" shapeId="0" xr:uid="{00000000-0006-0000-0200-000035020000}">
      <text>
        <r>
          <rPr>
            <b/>
            <sz val="9"/>
            <color indexed="81"/>
            <rFont val="Tahoma"/>
            <family val="2"/>
          </rPr>
          <t>Packard Bell:
- Leche Condensada
- Leche evaporada
- Leche Nido</t>
        </r>
      </text>
    </comment>
    <comment ref="H1289" authorId="1" shapeId="0" xr:uid="{00000000-0006-0000-0200-00003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$8.500 traslados.</t>
        </r>
      </text>
    </comment>
    <comment ref="F1291" authorId="1" shapeId="0" xr:uid="{00000000-0006-0000-0200-00003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Gas</t>
        </r>
      </text>
    </comment>
    <comment ref="H1291" authorId="1" shapeId="0" xr:uid="{00000000-0006-0000-0200-00003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- 1 Porción.
- 2 Delibery.</t>
        </r>
      </text>
    </comment>
    <comment ref="F1292" authorId="1" shapeId="0" xr:uid="{00000000-0006-0000-0200-00003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
- Zapallo</t>
        </r>
      </text>
    </comment>
    <comment ref="H1292" authorId="1" shapeId="0" xr:uid="{00000000-0006-0000-0200-00003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- 1 Porción.
- 2 Delivery</t>
        </r>
      </text>
    </comment>
    <comment ref="F1293" authorId="1" shapeId="0" xr:uid="{00000000-0006-0000-0200-00003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Marmitas.
- Harina.
- Levadura.
- Cúpulas
.</t>
        </r>
      </text>
    </comment>
    <comment ref="F1295" authorId="1" shapeId="0" xr:uid="{00000000-0006-0000-0200-00003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Soprole</t>
        </r>
      </text>
    </comment>
    <comment ref="F1296" authorId="1" shapeId="0" xr:uid="{00000000-0006-0000-0200-00003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Marmitas</t>
        </r>
      </text>
    </comment>
    <comment ref="F1299" authorId="1" shapeId="0" xr:uid="{00000000-0006-0000-0200-00003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Azucar flor.</t>
        </r>
      </text>
    </comment>
    <comment ref="F1302" authorId="1" shapeId="0" xr:uid="{00000000-0006-0000-0200-00003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Huevos</t>
        </r>
      </text>
    </comment>
    <comment ref="F1305" authorId="1" shapeId="0" xr:uid="{00000000-0006-0000-0200-00004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Gas</t>
        </r>
      </text>
    </comment>
    <comment ref="F1307" authorId="1" shapeId="0" xr:uid="{00000000-0006-0000-0200-00004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Leche condensada.
- Leche evaporada.</t>
        </r>
      </text>
    </comment>
    <comment ref="F1310" authorId="1" shapeId="0" xr:uid="{00000000-0006-0000-0200-00004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
- Chancaca Lider</t>
        </r>
      </text>
    </comment>
    <comment ref="F1311" authorId="1" shapeId="0" xr:uid="{00000000-0006-0000-0200-00004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Saldaña
- Huevos
- Alvi</t>
        </r>
      </text>
    </comment>
    <comment ref="F1312" authorId="1" shapeId="0" xr:uid="{00000000-0006-0000-0200-00004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Queso rallado.
- Panceta.</t>
        </r>
      </text>
    </comment>
    <comment ref="F1315" authorId="1" shapeId="0" xr:uid="{00000000-0006-0000-0200-00004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Insumos cajas alumnos</t>
        </r>
      </text>
    </comment>
    <comment ref="F1316" authorId="1" shapeId="0" xr:uid="{00000000-0006-0000-0200-00004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Leche condensada.
- Manjar.
- Azúcar.</t>
        </r>
      </text>
    </comment>
    <comment ref="F1317" authorId="1" shapeId="0" xr:uid="{00000000-0006-0000-0200-00004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Combustible.</t>
        </r>
      </text>
    </comment>
    <comment ref="A1323" authorId="1" shapeId="0" xr:uid="{00000000-0006-0000-0200-000048020000}">
      <text>
        <r>
          <rPr>
            <b/>
            <sz val="9"/>
            <color indexed="81"/>
            <rFont val="Tahoma"/>
            <family val="2"/>
          </rPr>
          <t>Packard Bell:
Dia del trabajador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324" authorId="1" shapeId="0" xr:uid="{00000000-0006-0000-0200-00004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Mueble Bernardia</t>
        </r>
      </text>
    </comment>
    <comment ref="F1324" authorId="1" shapeId="0" xr:uid="{00000000-0006-0000-0200-00004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-Coquitos de mueble Bernardita
-Nutella
-Leche Purita
-Aceitunas empanadas Mauro
</t>
        </r>
        <r>
          <rPr>
            <b/>
            <sz val="9"/>
            <color indexed="81"/>
            <rFont val="Tahoma"/>
            <family val="2"/>
          </rPr>
          <t xml:space="preserve">TOTTUS
</t>
        </r>
        <r>
          <rPr>
            <sz val="9"/>
            <color indexed="81"/>
            <rFont val="Tahoma"/>
            <family val="2"/>
          </rPr>
          <t>- Carne empanadas.
- Albahaca.</t>
        </r>
      </text>
    </comment>
    <comment ref="F1325" authorId="1" shapeId="0" xr:uid="{00000000-0006-0000-0200-00004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Cajas dia mamá
- Traslado</t>
        </r>
      </text>
    </comment>
    <comment ref="H1325" authorId="1" shapeId="0" xr:uid="{00000000-0006-0000-0200-00004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Dia del trabajador</t>
        </r>
      </text>
    </comment>
    <comment ref="F1326" authorId="1" shapeId="0" xr:uid="{00000000-0006-0000-0200-00004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Zapallos vecina</t>
        </r>
      </text>
    </comment>
    <comment ref="F1327" authorId="1" shapeId="0" xr:uid="{00000000-0006-0000-0200-00004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Harina.</t>
        </r>
      </text>
    </comment>
    <comment ref="F1328" authorId="1" shapeId="0" xr:uid="{00000000-0006-0000-0200-00004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Desayuno dia mamá
- Limones
</t>
        </r>
        <r>
          <rPr>
            <b/>
            <sz val="9"/>
            <color indexed="81"/>
            <rFont val="Tahoma"/>
            <family val="2"/>
          </rPr>
          <t>Librería:
-</t>
        </r>
        <r>
          <rPr>
            <sz val="9"/>
            <color indexed="81"/>
            <rFont val="Tahoma"/>
            <family val="2"/>
          </rPr>
          <t>Papel celofán
- Papel volantín
- Scotch</t>
        </r>
      </text>
    </comment>
    <comment ref="F1329" authorId="1" shapeId="0" xr:uid="{00000000-0006-0000-0200-00005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Contadora
- Gelatina</t>
        </r>
      </text>
    </comment>
    <comment ref="A1330" authorId="1" shapeId="0" xr:uid="{00000000-0006-0000-0200-000051020000}">
      <text>
        <r>
          <rPr>
            <b/>
            <sz val="9"/>
            <color indexed="81"/>
            <rFont val="Tahoma"/>
            <family val="2"/>
          </rPr>
          <t>Packard Bell:
Día de la madre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330" authorId="1" shapeId="0" xr:uid="{00000000-0006-0000-0200-00005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Dia de la madre.</t>
        </r>
      </text>
    </comment>
    <comment ref="F1332" authorId="1" shapeId="0" xr:uid="{00000000-0006-0000-0200-00005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Pino tablas Boaré
- Cajas dia alumno.
- Alusa</t>
        </r>
      </text>
    </comment>
    <comment ref="F1333" authorId="1" shapeId="0" xr:uid="{00000000-0006-0000-0200-00005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Bencina.
- Choclillo.
- Queso mantecoso.</t>
        </r>
      </text>
    </comment>
    <comment ref="F1335" authorId="1" shapeId="0" xr:uid="{00000000-0006-0000-0200-00005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-Carne para churrascos y hamburguesas.
- Galletas con chips de chocolate.
- Palta.</t>
        </r>
      </text>
    </comment>
    <comment ref="F1340" authorId="1" shapeId="0" xr:uid="{00000000-0006-0000-0200-00005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Soprole</t>
        </r>
      </text>
    </comment>
    <comment ref="F1343" authorId="1" shapeId="0" xr:uid="{00000000-0006-0000-0200-00005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Bencina
</t>
        </r>
      </text>
    </comment>
    <comment ref="F1346" authorId="1" shapeId="0" xr:uid="{00000000-0006-0000-0200-00005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-Bencina</t>
        </r>
      </text>
    </comment>
    <comment ref="F1347" authorId="1" shapeId="0" xr:uid="{00000000-0006-0000-0200-00005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Gas
- Jumbo </t>
        </r>
      </text>
    </comment>
    <comment ref="F1348" authorId="1" shapeId="0" xr:uid="{00000000-0006-0000-0200-00005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-Maizena
- Tottus
-Jumbo</t>
        </r>
      </text>
    </comment>
    <comment ref="F1349" authorId="1" shapeId="0" xr:uid="{00000000-0006-0000-0200-00005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Bencina</t>
        </r>
      </text>
    </comment>
    <comment ref="F1352" authorId="1" shapeId="0" xr:uid="{00000000-0006-0000-0200-00005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 Bencina
- Leche Condensada 
- Chancaca.
- Aceite.</t>
        </r>
      </text>
    </comment>
    <comment ref="F1357" authorId="1" shapeId="0" xr:uid="{00000000-0006-0000-0200-00005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Cremas ambiante
Queso</t>
        </r>
      </text>
    </comment>
    <comment ref="F1358" authorId="1" shapeId="0" xr:uid="{00000000-0006-0000-0200-00005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Jamón, lechuga, leche.
</t>
        </r>
      </text>
    </comment>
    <comment ref="D1362" authorId="1" shapeId="0" xr:uid="{00000000-0006-0000-0200-00005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Premios</t>
        </r>
      </text>
    </comment>
    <comment ref="F1362" authorId="1" shapeId="0" xr:uid="{00000000-0006-0000-0200-00006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Pedido Lider
</t>
        </r>
      </text>
    </comment>
    <comment ref="F1363" authorId="1" shapeId="0" xr:uid="{00000000-0006-0000-0200-00006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-Leche condensada.
-Azúcar flor.
-Azùcar.
-Manjar</t>
        </r>
      </text>
    </comment>
    <comment ref="F1364" authorId="1" shapeId="0" xr:uid="{00000000-0006-0000-0200-00006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Pino
Huevos
Queso
</t>
        </r>
      </text>
    </comment>
    <comment ref="F1365" authorId="1" shapeId="0" xr:uid="{00000000-0006-0000-0200-00006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Soprole
</t>
        </r>
      </text>
    </comment>
    <comment ref="F1368" authorId="1" shapeId="0" xr:uid="{00000000-0006-0000-0200-00006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Pedido aceites</t>
        </r>
      </text>
    </comment>
    <comment ref="F1369" authorId="1" shapeId="0" xr:uid="{00000000-0006-0000-0200-00006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Pino
Pendòn
</t>
        </r>
      </text>
    </comment>
    <comment ref="F1370" authorId="1" shapeId="0" xr:uid="{00000000-0006-0000-0200-00006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Morrones
Carne JD
Arriendo vajilleria
Longaniza
Carbón</t>
        </r>
      </text>
    </comment>
    <comment ref="F1371" authorId="1" shapeId="0" xr:uid="{00000000-0006-0000-0200-00006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Manjar
Fuentes
Galletas</t>
        </r>
      </text>
    </comment>
    <comment ref="F1372" authorId="1" shapeId="0" xr:uid="{00000000-0006-0000-0200-00006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Garzón
</t>
        </r>
      </text>
    </comment>
    <comment ref="F1373" authorId="1" shapeId="0" xr:uid="{00000000-0006-0000-0200-00006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Bencina
Caja huevos</t>
        </r>
      </text>
    </comment>
    <comment ref="F1374" authorId="1" shapeId="0" xr:uid="{00000000-0006-0000-0200-00006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Contadora
PPM</t>
        </r>
      </text>
    </comment>
    <comment ref="F1375" authorId="1" shapeId="0" xr:uid="{00000000-0006-0000-0200-00006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Jugos desayunos
Rieles
Queso, Jamon y pan
Cajas desay. Cajas de torta y servilletas</t>
        </r>
      </text>
    </comment>
    <comment ref="F1376" authorId="1" shapeId="0" xr:uid="{00000000-0006-0000-0200-00006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Pago Garzon Ximena
Lavalozas
Yogurt</t>
        </r>
      </text>
    </comment>
    <comment ref="F1378" authorId="1" shapeId="0" xr:uid="{00000000-0006-0000-0200-00006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Zapallo
Chancaca
Zapallo super</t>
        </r>
      </text>
    </comment>
    <comment ref="F1379" authorId="1" shapeId="0" xr:uid="{00000000-0006-0000-0200-00006E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Gas</t>
        </r>
      </text>
    </comment>
    <comment ref="F1382" authorId="1" shapeId="0" xr:uid="{00000000-0006-0000-0200-00006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Terciado 9 mm</t>
        </r>
      </text>
    </comment>
    <comment ref="F1383" authorId="1" shapeId="0" xr:uid="{00000000-0006-0000-0200-00007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Carnes empadas
Ceviche</t>
        </r>
      </text>
    </comment>
    <comment ref="F1384" authorId="1" shapeId="0" xr:uid="{00000000-0006-0000-0200-00007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Combustible
</t>
        </r>
      </text>
    </comment>
    <comment ref="F1385" authorId="1" shapeId="0" xr:uid="{00000000-0006-0000-0200-00007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Cebollas</t>
        </r>
      </text>
    </comment>
    <comment ref="F1391" authorId="1" shapeId="0" xr:uid="{00000000-0006-0000-0200-00007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Malla de cebollas.
Mezquino
Bases de tortas</t>
        </r>
      </text>
    </comment>
    <comment ref="F1392" authorId="1" shapeId="0" xr:uid="{00000000-0006-0000-0200-00007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Vega
Jamón Unimarc</t>
        </r>
      </text>
    </comment>
    <comment ref="F1394" authorId="1" shapeId="0" xr:uid="{00000000-0006-0000-0200-00007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Vega
Cajas de tortas</t>
        </r>
      </text>
    </comment>
    <comment ref="D1399" authorId="1" shapeId="0" xr:uid="{00000000-0006-0000-0200-000076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Anticipo Mueble</t>
        </r>
      </text>
    </comment>
    <comment ref="F1399" authorId="1" shapeId="0" xr:uid="{00000000-0006-0000-0200-000077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Frambuesas</t>
        </r>
      </text>
    </comment>
    <comment ref="F1400" authorId="1" shapeId="0" xr:uid="{00000000-0006-0000-0200-000078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Pino $27061
Gas butano
Carne
Huevos
Bencina</t>
        </r>
      </text>
    </comment>
    <comment ref="F1401" authorId="1" shapeId="0" xr:uid="{00000000-0006-0000-0200-000079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Choclos
Cebollas
</t>
        </r>
      </text>
    </comment>
    <comment ref="D1407" authorId="1" shapeId="0" xr:uid="{00000000-0006-0000-0200-00007A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Anticipo de trofeos</t>
        </r>
      </text>
    </comment>
    <comment ref="F1407" authorId="1" shapeId="0" xr:uid="{00000000-0006-0000-0200-00007B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$2.990 Pino
Toper</t>
        </r>
      </text>
    </comment>
    <comment ref="F1408" authorId="1" shapeId="0" xr:uid="{00000000-0006-0000-0200-00007C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Pino 2x2: $2900.
Choclos
Philadelpia
Cajas Pascua</t>
        </r>
      </text>
    </comment>
    <comment ref="F1409" authorId="1" shapeId="0" xr:uid="{00000000-0006-0000-0200-00007D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Bencina</t>
        </r>
      </text>
    </comment>
    <comment ref="F1411" authorId="1" shapeId="0" xr:uid="{00000000-0006-0000-0200-00007E020000}">
      <text>
        <r>
          <rPr>
            <b/>
            <sz val="9"/>
            <color indexed="81"/>
            <rFont val="Tahoma"/>
            <family val="2"/>
          </rPr>
          <t xml:space="preserve">Packard Bell:
Caja huevos
Harina
</t>
        </r>
      </text>
    </comment>
    <comment ref="F1412" authorId="1" shapeId="0" xr:uid="{00000000-0006-0000-0200-00007F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Gas
Saldaña
Huevos chocolate
Jumbo huevos chocolate
Whisky mini</t>
        </r>
      </text>
    </comment>
    <comment ref="F1414" authorId="1" shapeId="0" xr:uid="{00000000-0006-0000-0200-000080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Ralmi</t>
        </r>
      </text>
    </comment>
    <comment ref="F1415" authorId="1" shapeId="0" xr:uid="{00000000-0006-0000-0200-000081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Espinaca
pan hamburguesa</t>
        </r>
      </text>
    </comment>
    <comment ref="F1417" authorId="1" shapeId="0" xr:uid="{00000000-0006-0000-0200-000082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Jugo naranja
Yogurt griego</t>
        </r>
      </text>
    </comment>
    <comment ref="F1418" authorId="1" shapeId="0" xr:uid="{00000000-0006-0000-0200-000083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Queso Crema</t>
        </r>
      </text>
    </comment>
    <comment ref="F1420" authorId="1" shapeId="0" xr:uid="{00000000-0006-0000-0200-000084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Huevos
Champiñones
Queso Cheedar
Jugos de naranja</t>
        </r>
      </text>
    </comment>
    <comment ref="F1421" authorId="1" shapeId="0" xr:uid="{00000000-0006-0000-0200-000085020000}">
      <text>
        <r>
          <rPr>
            <b/>
            <sz val="9"/>
            <color indexed="81"/>
            <rFont val="Tahoma"/>
            <family val="2"/>
          </rPr>
          <t>Packard Bell:</t>
        </r>
        <r>
          <rPr>
            <sz val="9"/>
            <color indexed="81"/>
            <rFont val="Tahoma"/>
            <family val="2"/>
          </rPr>
          <t xml:space="preserve">
Permiso Circulacion</t>
        </r>
      </text>
    </comment>
    <comment ref="G2703" authorId="0" shapeId="0" xr:uid="{FBF424D3-6A42-45B9-BA98-512BAC976147}">
      <text>
        <r>
          <rPr>
            <b/>
            <sz val="9"/>
            <color indexed="81"/>
            <rFont val="Tahoma"/>
            <family val="2"/>
          </rPr>
          <t>BoAré:</t>
        </r>
        <r>
          <rPr>
            <sz val="9"/>
            <color indexed="81"/>
            <rFont val="Tahoma"/>
            <family val="2"/>
          </rPr>
          <t xml:space="preserve">
- De aquí en adelante se comienzan a separar los gastos fijos de los gastos en insumos, considerandose solo estos últimos para información de gastos.</t>
        </r>
      </text>
    </comment>
  </commentList>
</comments>
</file>

<file path=xl/sharedStrings.xml><?xml version="1.0" encoding="utf-8"?>
<sst xmlns="http://schemas.openxmlformats.org/spreadsheetml/2006/main" count="737" uniqueCount="382">
  <si>
    <t>Total</t>
  </si>
  <si>
    <t>*</t>
  </si>
  <si>
    <t>Año</t>
  </si>
  <si>
    <t>Dias del mes</t>
  </si>
  <si>
    <t>Fecha</t>
  </si>
  <si>
    <t>Dia</t>
  </si>
  <si>
    <t>Efectivo</t>
  </si>
  <si>
    <t>Tarjeta</t>
  </si>
  <si>
    <t>Total Vtas</t>
  </si>
  <si>
    <t>Gastos</t>
  </si>
  <si>
    <t>aaaaaaaaaaaaa</t>
  </si>
  <si>
    <t>TOTALES</t>
  </si>
  <si>
    <t>Mes</t>
  </si>
  <si>
    <t>Boaré</t>
  </si>
  <si>
    <t>TOTAL AGO. 2021</t>
  </si>
  <si>
    <t>TOTAL SEP. 2021</t>
  </si>
  <si>
    <t>TOTAL DIC. 2021</t>
  </si>
  <si>
    <t>TOTAL OCT. 2021</t>
  </si>
  <si>
    <t>TOTAL NOV. 2021</t>
  </si>
  <si>
    <t>TOTAL ENE. 2022</t>
  </si>
  <si>
    <t>TOTAL FEB. 2022</t>
  </si>
  <si>
    <t>TOTAL MAR. 2022</t>
  </si>
  <si>
    <t>TOTAL ABR. 2022</t>
  </si>
  <si>
    <t>TOTAL MAY. 2022</t>
  </si>
  <si>
    <t>TOTAL JUN. 2022</t>
  </si>
  <si>
    <t>TOTAL JUL. 2022</t>
  </si>
  <si>
    <t>TOTAL AGO. 2022</t>
  </si>
  <si>
    <t>TOTAL SEP. 2022</t>
  </si>
  <si>
    <t>TOTAL OCT. 2022</t>
  </si>
  <si>
    <t>TOTAL NOV. 2022</t>
  </si>
  <si>
    <t>TOTAL DIC. 2022</t>
  </si>
  <si>
    <t>TOTAL ENE. 2023</t>
  </si>
  <si>
    <t>TOTAL FEB. 2023</t>
  </si>
  <si>
    <t>TOTAL MAR. 2023</t>
  </si>
  <si>
    <t>TOTAL ABR. 2023</t>
  </si>
  <si>
    <t>TOTAL MAY. 2023</t>
  </si>
  <si>
    <t>TOTAL JUN. 2023</t>
  </si>
  <si>
    <t>TOTAL JUL. 2023</t>
  </si>
  <si>
    <t>TOTAL AGO. 2023</t>
  </si>
  <si>
    <t>TOTAL SEP. 2023</t>
  </si>
  <si>
    <t>TOTAL OCT. 2023</t>
  </si>
  <si>
    <t>TOTAL NOV. 2023</t>
  </si>
  <si>
    <t>TOTAL DIC. 2023</t>
  </si>
  <si>
    <t>TOTAL ENE. 2024</t>
  </si>
  <si>
    <t>TOTAL FEB. 2024</t>
  </si>
  <si>
    <t>TOTAL MAR. 2024</t>
  </si>
  <si>
    <t>TOTAL ABR. 2024</t>
  </si>
  <si>
    <t>TOTAL JUN. 2024</t>
  </si>
  <si>
    <t>TOTAL JUL. 2024</t>
  </si>
  <si>
    <t>TOTAL AGO. 2024</t>
  </si>
  <si>
    <t>TOTAL OCT. 2024</t>
  </si>
  <si>
    <t>TOTAL SEP. 2024</t>
  </si>
  <si>
    <t>TOTAL NOV. 2024</t>
  </si>
  <si>
    <t>TOTAL DIC. 2024</t>
  </si>
  <si>
    <t>TOTAL ENE. 2025</t>
  </si>
  <si>
    <t>TOTAL FEB. 2025</t>
  </si>
  <si>
    <t>TOTAL MAR. 2025</t>
  </si>
  <si>
    <t>TOTAL ABR. 2025</t>
  </si>
  <si>
    <t>TOTAL MAY. 2025</t>
  </si>
  <si>
    <t>TOTAL JUN. 2025</t>
  </si>
  <si>
    <t>TOTAL JUL. 2025</t>
  </si>
  <si>
    <t>TOTAL AGO. 2025</t>
  </si>
  <si>
    <t>TOTAL SEP. 2025</t>
  </si>
  <si>
    <t>TOTAL OCT. 2025</t>
  </si>
  <si>
    <t>TOTAL NOV. 2025</t>
  </si>
  <si>
    <t>TOTAL DIC. 2025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</si>
  <si>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</si>
  <si>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</si>
  <si>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</si>
  <si>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</si>
  <si>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</si>
  <si>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</si>
  <si>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</si>
  <si>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</si>
  <si>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</si>
  <si>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</si>
  <si>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</si>
  <si>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</si>
  <si>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Ventas</t>
  </si>
  <si>
    <t>Incremento $</t>
  </si>
  <si>
    <t>Incremento %</t>
  </si>
  <si>
    <t>2021 / 2022</t>
  </si>
  <si>
    <t>2022 / 2023</t>
  </si>
  <si>
    <t>2023 / 2024</t>
  </si>
  <si>
    <t>2024 / 2025</t>
  </si>
  <si>
    <t>264 empanadas</t>
  </si>
  <si>
    <t>8 Por. Pic.</t>
  </si>
  <si>
    <t>8 desayunos mamá 1 torta red velvet</t>
  </si>
  <si>
    <t>108 desayunos dia del estudiante</t>
  </si>
  <si>
    <t>27 Por. P.</t>
  </si>
  <si>
    <t>15 Por. P.</t>
  </si>
  <si>
    <t>4 Porc. Pic.</t>
  </si>
  <si>
    <t xml:space="preserve"> 14 Porc. P.</t>
  </si>
  <si>
    <t>37 Porc. P.</t>
  </si>
  <si>
    <t>132 Porc. P</t>
  </si>
  <si>
    <t>50  P. P</t>
  </si>
  <si>
    <t>20 P. P</t>
  </si>
  <si>
    <t>11 P. P</t>
  </si>
  <si>
    <t>4 P. P</t>
  </si>
  <si>
    <t>28 P. P</t>
  </si>
  <si>
    <t>7 desayunos dia dl padre</t>
  </si>
  <si>
    <t>9 P. P</t>
  </si>
  <si>
    <t>39 P. P</t>
  </si>
  <si>
    <t>8 p. p</t>
  </si>
  <si>
    <t>15 p. p</t>
  </si>
  <si>
    <t>29 pp</t>
  </si>
  <si>
    <t>13 p.p</t>
  </si>
  <si>
    <t>3 Tortas dia del niño</t>
  </si>
  <si>
    <t>26 pp</t>
  </si>
  <si>
    <t>Transferencia</t>
  </si>
  <si>
    <t>EV: Emp Vinera</t>
  </si>
  <si>
    <t>EC Emp Carne</t>
  </si>
  <si>
    <t>EQ: Emp Queso</t>
  </si>
  <si>
    <t xml:space="preserve">BX: Box </t>
  </si>
  <si>
    <t>24 EC</t>
  </si>
  <si>
    <t>29 EC+2EQ</t>
  </si>
  <si>
    <t>24 EC + 25 EV + 24 BX</t>
  </si>
  <si>
    <t>319 EC + 136 EV + 23 BX</t>
  </si>
  <si>
    <t>42 EC + 46 EV + 12 EQ</t>
  </si>
  <si>
    <t>40 EC + 6EQ</t>
  </si>
  <si>
    <t>90 EC + 20EQ</t>
  </si>
  <si>
    <t>207 EV</t>
  </si>
  <si>
    <t>568 EC</t>
  </si>
  <si>
    <t>40 EQ</t>
  </si>
  <si>
    <t>2 kit #</t>
  </si>
  <si>
    <t>3 kit pinta y 1 #</t>
  </si>
  <si>
    <t>5 kit</t>
  </si>
  <si>
    <t>8 kit</t>
  </si>
  <si>
    <t>4 lts Cola M.</t>
  </si>
  <si>
    <t>3 Pan Pascua</t>
  </si>
  <si>
    <t>22 lts Cola M.</t>
  </si>
  <si>
    <t>3 lts Cola M.   1Pan de pascua</t>
  </si>
  <si>
    <t>23 Postres</t>
  </si>
  <si>
    <t>3 lts Cola M.</t>
  </si>
  <si>
    <t>21 postres</t>
  </si>
  <si>
    <t>(Porciones de picarones P.P)</t>
  </si>
  <si>
    <t>10 lts Cola M.</t>
  </si>
  <si>
    <t>1 lts Cola M.</t>
  </si>
  <si>
    <t>2 lts Cola M.</t>
  </si>
  <si>
    <t>Ventas 2022</t>
  </si>
  <si>
    <t>Gastos 2022</t>
  </si>
  <si>
    <t>Ventas 2023</t>
  </si>
  <si>
    <t>Gastos 2023</t>
  </si>
  <si>
    <t>% Gastos 2022</t>
  </si>
  <si>
    <t>% Gastos 2023</t>
  </si>
  <si>
    <t xml:space="preserve">Total  </t>
  </si>
  <si>
    <t>TOTALES (Promedio mensual)</t>
  </si>
  <si>
    <t>Facturas 2022</t>
  </si>
  <si>
    <t>Boletas 2022</t>
  </si>
  <si>
    <t>TOTAL 2022</t>
  </si>
  <si>
    <t>Facturas 2023</t>
  </si>
  <si>
    <t>Boletas 2023</t>
  </si>
  <si>
    <t>TOTAL 2023</t>
  </si>
  <si>
    <t>Factura 2024</t>
  </si>
  <si>
    <t>Boleta 2024</t>
  </si>
  <si>
    <t>TOTAL 2024</t>
  </si>
  <si>
    <t>25 lts. Cola M.</t>
  </si>
  <si>
    <t>16 pasteles</t>
  </si>
  <si>
    <t>7 pasteles</t>
  </si>
  <si>
    <t>8 pasteles</t>
  </si>
  <si>
    <t>7 Pasteles</t>
  </si>
  <si>
    <t>BOLETAS Y FACTURAS EMITIDAS X AÑO</t>
  </si>
  <si>
    <t>$200,000</t>
  </si>
  <si>
    <t>Caitlin</t>
  </si>
  <si>
    <t>$100,000</t>
  </si>
  <si>
    <t>18 porc. Pic</t>
  </si>
  <si>
    <t>23 porc. Pic</t>
  </si>
  <si>
    <t>26 doc emp</t>
  </si>
  <si>
    <t>36 p.p</t>
  </si>
  <si>
    <t>Mueble Pepa</t>
  </si>
  <si>
    <t>%  GASTOS   POR   MES / AÑO</t>
  </si>
  <si>
    <t>.</t>
  </si>
  <si>
    <t>25 P. P</t>
  </si>
  <si>
    <t>23 P. P</t>
  </si>
  <si>
    <t>16 P. P</t>
  </si>
  <si>
    <t>100.000 Papá</t>
  </si>
  <si>
    <t>22 P. P.</t>
  </si>
  <si>
    <t>700,000 Expo</t>
  </si>
  <si>
    <t>217.000 closet</t>
  </si>
  <si>
    <t>105.000 Closet</t>
  </si>
  <si>
    <t>3 P. P</t>
  </si>
  <si>
    <t>17 p.p</t>
  </si>
  <si>
    <t>26 p. p</t>
  </si>
  <si>
    <t>34 P. P.</t>
  </si>
  <si>
    <t>$ 750.000 Expo.</t>
  </si>
  <si>
    <t xml:space="preserve">Licuadora </t>
  </si>
  <si>
    <t>Gas casa</t>
  </si>
  <si>
    <t>Pino bancas</t>
  </si>
  <si>
    <t>Bauplan</t>
  </si>
  <si>
    <t>Maximiliano</t>
  </si>
  <si>
    <t>Pino tintura</t>
  </si>
  <si>
    <t>Gas Boaré</t>
  </si>
  <si>
    <t>Lili</t>
  </si>
  <si>
    <t>16 P. P.</t>
  </si>
  <si>
    <t>Emp. Pino 528</t>
  </si>
  <si>
    <t>Emp. Queso 12</t>
  </si>
  <si>
    <t>Emp. Vinera 79</t>
  </si>
  <si>
    <t>Vin. Queso 100</t>
  </si>
  <si>
    <t>Alf. Maizena 61</t>
  </si>
  <si>
    <t>Chilenitos 134</t>
  </si>
  <si>
    <t>Pajaritos 182</t>
  </si>
  <si>
    <t>Empolvados 240</t>
  </si>
  <si>
    <t>Gtos. Insumos</t>
  </si>
  <si>
    <t>Gtos. Fijos</t>
  </si>
  <si>
    <t>Total ventas</t>
  </si>
  <si>
    <t>Total gastos</t>
  </si>
  <si>
    <t>$296.800 Vta café</t>
  </si>
  <si>
    <t>$300000 expo</t>
  </si>
  <si>
    <t>$240.000 Julián</t>
  </si>
  <si>
    <t>Extras y detalles</t>
  </si>
  <si>
    <t>$571.200 Bancas</t>
  </si>
  <si>
    <t>150.000 Barbará</t>
  </si>
  <si>
    <t>Sueldo Lily</t>
  </si>
  <si>
    <t>Impuestos</t>
  </si>
  <si>
    <t>cefé EXPO</t>
  </si>
  <si>
    <t>TOTAL 70 LTS. COLA DE MONO</t>
  </si>
  <si>
    <t>10 CM</t>
  </si>
  <si>
    <t>Gas BOARÉ</t>
  </si>
  <si>
    <t>Gas Casa</t>
  </si>
  <si>
    <t>Ventas 2024</t>
  </si>
  <si>
    <t>Gastos 2024</t>
  </si>
  <si>
    <t>% Gastos 2024</t>
  </si>
  <si>
    <t>Ventas 2025</t>
  </si>
  <si>
    <t>Gastos 2025</t>
  </si>
  <si>
    <t>% Gastos 2025</t>
  </si>
  <si>
    <t>VACACIONES</t>
  </si>
  <si>
    <t>Frutillas</t>
  </si>
  <si>
    <t>Gas BoAré</t>
  </si>
  <si>
    <t>Kanka, Brasero</t>
  </si>
  <si>
    <t>Fact. Lidia</t>
  </si>
  <si>
    <t>Sueldo Lyli</t>
  </si>
  <si>
    <t>IVA</t>
  </si>
  <si>
    <t>Lavavajillas</t>
  </si>
  <si>
    <t>Frambuesas</t>
  </si>
  <si>
    <t>312 Emp copec</t>
  </si>
  <si>
    <t>TOTAL MAY. 2024</t>
  </si>
  <si>
    <t>Suledo Lily</t>
  </si>
  <si>
    <t>Imposiciones</t>
  </si>
  <si>
    <t>Gas casa y Boaré</t>
  </si>
  <si>
    <t>IVA - Contadora</t>
  </si>
  <si>
    <t>Agua</t>
  </si>
  <si>
    <t>Sueldos</t>
  </si>
  <si>
    <t>Compra camion</t>
  </si>
  <si>
    <t>Pago sueldos</t>
  </si>
  <si>
    <t>Compra congelador ($150.000)</t>
  </si>
  <si>
    <t>Evento</t>
  </si>
  <si>
    <t>Compra 2 Termomix</t>
  </si>
  <si>
    <t>sueldos</t>
  </si>
  <si>
    <t>Contadora</t>
  </si>
  <si>
    <t>Anticipo Macarena</t>
  </si>
  <si>
    <t>Crédito camión</t>
  </si>
  <si>
    <t>Cuota Camión</t>
  </si>
  <si>
    <t>Factura 2025</t>
  </si>
  <si>
    <t>Boleta 2025</t>
  </si>
  <si>
    <t>TOTAL 2025</t>
  </si>
  <si>
    <t xml:space="preserve">Activos </t>
  </si>
  <si>
    <t>Cant</t>
  </si>
  <si>
    <t>Producto</t>
  </si>
  <si>
    <t>Marca</t>
  </si>
  <si>
    <t>Mixer.</t>
  </si>
  <si>
    <t>Cocinilla.</t>
  </si>
  <si>
    <t>Congeladores de 200 lts.</t>
  </si>
  <si>
    <t>Congelador de 150 lts.</t>
  </si>
  <si>
    <t>Mueble de madera de tres cuerpos para hormos de 220 x 70 x 60 mts.</t>
  </si>
  <si>
    <t>Mueble de madera porta bandejas de horno de 220 x 80 x 60 cms.</t>
  </si>
  <si>
    <t>Mesón de trabajo de 180 x 55 x 90 cms.</t>
  </si>
  <si>
    <t>Isla de cocina de 310 x  137 x 87 de 8 puertas.</t>
  </si>
  <si>
    <t>Percoladores 6 lts.</t>
  </si>
  <si>
    <t>Percolador 10 lts.</t>
  </si>
  <si>
    <t xml:space="preserve">Tazas con plato. </t>
  </si>
  <si>
    <t>Platos principal.</t>
  </si>
  <si>
    <t xml:space="preserve">Platos de pan. </t>
  </si>
  <si>
    <t xml:space="preserve">Tenedores. </t>
  </si>
  <si>
    <t xml:space="preserve">Cuchillos. </t>
  </si>
  <si>
    <t xml:space="preserve">Vasos cortos. </t>
  </si>
  <si>
    <t>Copas flauta.</t>
  </si>
  <si>
    <t xml:space="preserve">Copas de vino. </t>
  </si>
  <si>
    <t>Vasos de shot.</t>
  </si>
  <si>
    <t xml:space="preserve">Vasos largos. </t>
  </si>
  <si>
    <t>Vasos cerveceros.</t>
  </si>
  <si>
    <t xml:space="preserve">Mesas plásticas 1.80 mts. </t>
  </si>
  <si>
    <t>Mesón de madera de 2.00 mts.</t>
  </si>
  <si>
    <t>Bar tipo barra modular móvil de fierro y madera personalizada con luces led.</t>
  </si>
  <si>
    <t>Parrilla para asados de 250 x 70 x 85 cms.</t>
  </si>
  <si>
    <t>Parrilla para asados de 150 x 80 x 85 cms.</t>
  </si>
  <si>
    <t>Parrilla para asar 2 corderos con sus respectivas cruces de 150 x 70 x 50 cms.</t>
  </si>
  <si>
    <t>Brasero en fierro de 4mm.</t>
  </si>
  <si>
    <t>Jaula para asados.</t>
  </si>
  <si>
    <t>Cocina rocket.</t>
  </si>
  <si>
    <t>Tablas para asadosde madera nativa.</t>
  </si>
  <si>
    <t>Set de 6 cuchillos profesionales para asado.</t>
  </si>
  <si>
    <t>Manteles de 300 x 220 cms.</t>
  </si>
  <si>
    <t>Modelo</t>
  </si>
  <si>
    <t>kichenAid</t>
  </si>
  <si>
    <t>Bozzo</t>
  </si>
  <si>
    <t>QuadWash</t>
  </si>
  <si>
    <t>Batidora kichenAid.</t>
  </si>
  <si>
    <t>Batidora.</t>
  </si>
  <si>
    <t>kitchenAid</t>
  </si>
  <si>
    <t xml:space="preserve">Batidora. </t>
  </si>
  <si>
    <t>Cuisinart</t>
  </si>
  <si>
    <t>Licuadora.</t>
  </si>
  <si>
    <t>Oster</t>
  </si>
  <si>
    <t>Horno convector.</t>
  </si>
  <si>
    <t>Anna</t>
  </si>
  <si>
    <t xml:space="preserve">Unox </t>
  </si>
  <si>
    <t xml:space="preserve">Horno convector </t>
  </si>
  <si>
    <t>Horno convector</t>
  </si>
  <si>
    <t xml:space="preserve"> EKA </t>
  </si>
  <si>
    <t>YXD-1A</t>
  </si>
  <si>
    <t>EKF 423 P</t>
  </si>
  <si>
    <t>Visicooler  110 lts</t>
  </si>
  <si>
    <t>LC-110</t>
  </si>
  <si>
    <t>SM50 CMR</t>
  </si>
  <si>
    <t>Laminadora .</t>
  </si>
  <si>
    <t>Dbast 50 cms</t>
  </si>
  <si>
    <t>Amasadora 12 kilos.</t>
  </si>
  <si>
    <t>Ventus</t>
  </si>
  <si>
    <t>Balanzas</t>
  </si>
  <si>
    <t xml:space="preserve"> Simple Cook</t>
  </si>
  <si>
    <t>Cocina.</t>
  </si>
  <si>
    <t xml:space="preserve"> TEKA</t>
  </si>
  <si>
    <t>5 platos</t>
  </si>
  <si>
    <t>Doite</t>
  </si>
  <si>
    <t>Astra</t>
  </si>
  <si>
    <t>Robot de cocina.</t>
  </si>
  <si>
    <t xml:space="preserve"> Thermomix</t>
  </si>
  <si>
    <t>VORWERK</t>
  </si>
  <si>
    <t>Lavavajillas, 14 cubiertos.</t>
  </si>
  <si>
    <t xml:space="preserve"> LG </t>
  </si>
  <si>
    <t>CTVD-200</t>
  </si>
  <si>
    <t>Genérico</t>
  </si>
  <si>
    <t>Notebook.</t>
  </si>
  <si>
    <t>Lenovo</t>
  </si>
  <si>
    <t>Ideapad Gaming 3</t>
  </si>
  <si>
    <t>Big Chef</t>
  </si>
  <si>
    <t>Electron</t>
  </si>
  <si>
    <t>BA-6950INX</t>
  </si>
  <si>
    <t>Hervidor 4.6 lts.</t>
  </si>
  <si>
    <t>Lugano</t>
  </si>
  <si>
    <t>Bistro</t>
  </si>
  <si>
    <t>Cristal</t>
  </si>
  <si>
    <t>Krea</t>
  </si>
  <si>
    <t>Midea</t>
  </si>
  <si>
    <t>Libero</t>
  </si>
  <si>
    <t>MDRS 710 Fge 50</t>
  </si>
  <si>
    <t>Lsbs - 560 nfiw</t>
  </si>
  <si>
    <t>Refrigerador - congelador 527 lts.</t>
  </si>
  <si>
    <t>Refrigerador congelador  559 lts.</t>
  </si>
  <si>
    <t>Grilladora .</t>
  </si>
  <si>
    <t>Ursus Trotter</t>
  </si>
  <si>
    <t>Moledora de café .</t>
  </si>
  <si>
    <t>BVSTBMH23-52</t>
  </si>
  <si>
    <t>Sartenes de fierro fundido oval 24 cms.</t>
  </si>
  <si>
    <t>Kangkawe</t>
  </si>
  <si>
    <t>Spiedo para asados.</t>
  </si>
  <si>
    <t>Kanka</t>
  </si>
  <si>
    <t>Bases para spiedo.</t>
  </si>
  <si>
    <t>Camión 1.3 cc.</t>
  </si>
  <si>
    <t>Karry</t>
  </si>
  <si>
    <t>Q22D CB</t>
  </si>
  <si>
    <t xml:space="preserve"> Classic</t>
  </si>
  <si>
    <t xml:space="preserve"> Heavy Duty</t>
  </si>
  <si>
    <t>Dual Teck</t>
  </si>
  <si>
    <t xml:space="preserve">Ariendo </t>
  </si>
  <si>
    <t>Luz</t>
  </si>
  <si>
    <t>Gas</t>
  </si>
  <si>
    <t>Teléfono</t>
  </si>
  <si>
    <t>Colegios</t>
  </si>
  <si>
    <t>Pensión</t>
  </si>
  <si>
    <t>Universidad</t>
  </si>
  <si>
    <t xml:space="preserve">Alimentación </t>
  </si>
  <si>
    <t>Combustible</t>
  </si>
  <si>
    <t>Ropa</t>
  </si>
  <si>
    <t>Aseo</t>
  </si>
  <si>
    <t>Deportes</t>
  </si>
  <si>
    <t>Item</t>
  </si>
  <si>
    <t>Gasto</t>
  </si>
  <si>
    <t>Fogón 1 hornalla</t>
  </si>
  <si>
    <t>Carrete alargador 20 mts, 16 Amp, 4 tomas.</t>
  </si>
  <si>
    <t>HALUX</t>
  </si>
  <si>
    <t>Arriendo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</si>
</sst>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 &quot;$&quot;* #,##0_ ;_ &quot;$&quot;* \-#,##0_ ;_ &quot;$&quot;* &quot;-&quot;_ ;_ @_ "/>
    <numFmt numFmtId="164" formatCode="_-[$$-340A]\ * #,##0_-;\-[$$-340A]\ * #,##0_-;_-[$$-340A]\ * &quot;-&quot;_-;_-@_-"/>
    <numFmt numFmtId="165" formatCode="dddd"/>
    <numFmt numFmtId="166" formatCode="0.0%"/>
    <numFmt numFmtId="167" formatCode="[$$       -340A]\ #,##0;[Red]\-[$$   -340A]\ #,##0"/>
    <numFmt numFmtId="168" formatCode="dd\-mm\-yy;@"/>
    <numFmt numFmtId="169" formatCode="yyyy\-mm\-dd;@"/>
    <numFmt numFmtId="170" formatCode="[$$    -340A]\ #,##0;[Red]\-[$$   -340A]\ #,##0"/>
    <numFmt numFmtId="171" formatCode="_ [$$-340A]* #,##0_ ;_ [$$-340A]* \-#,##0_ ;_ [$$-340A]* &quot;-&quot;_ ;_ @_ "/>
  </numFmts>
  <fonts count="5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36"/>
      <color theme="1"/>
      <name val="Script MT Bold"/>
      <family val="4"/>
    </font>
    <font>
      <sz val="36"/>
      <color theme="1"/>
      <name val="Script MT Bold"/>
      <family val="4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4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2"/>
      <name val="Arial"/>
      <family val="2"/>
    </font>
    <font>
      <b/>
      <i/>
      <u/>
      <sz val="11"/>
      <color indexed="81"/>
      <name val="Tahoma"/>
      <family val="2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Arial"/>
      <family val="2"/>
    </font>
    <font>
      <b/>
      <sz val="13"/>
      <color theme="1"/>
      <name val="Calibri"/>
      <family val="2"/>
      <scheme val="minor"/>
    </font>
    <font>
      <b/>
      <sz val="8"/>
      <name val="Arial"/>
      <family val="2"/>
    </font>
    <font>
      <b/>
      <sz val="8"/>
      <color rgb="FFFF0000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sz val="26"/>
      <color rgb="FF333333"/>
      <name val="Arial"/>
      <family val="2"/>
    </font>
    <font>
      <sz val="11"/>
      <color rgb="FF333333"/>
      <name val="Calibri"/>
      <family val="2"/>
      <scheme val="minor"/>
    </font>
    <font>
      <sz val="8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602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2" fontId="2" fillId="0" borderId="0" applyFont="0" applyFill="0" applyBorder="0" applyAlignment="0" applyProtection="0"/>
  </cellStyleXfs>
  <cellXfs count="273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4" fillId="0" borderId="0" xfId="0" applyNumberFormat="1" applyFont="1"/>
    <xf numFmtId="164" fontId="14" fillId="0" borderId="0" xfId="0" applyNumberFormat="1" applyFont="1" applyProtection="1">
      <protection locked="0"/>
    </xf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0" borderId="0" xfId="0" applyFont="1" applyAlignment="1" applyProtection="1">
      <alignment horizontal="center" vertical="center"/>
      <protection locked="0"/>
    </xf>
    <xf numFmtId="164" fontId="17" fillId="0" borderId="0" xfId="0" applyNumberFormat="1" applyFont="1" applyProtection="1">
      <protection locked="0"/>
    </xf>
    <xf numFmtId="164" fontId="18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64" fontId="15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 vertical="center" wrapText="1"/>
      <protection locked="0"/>
    </xf>
    <xf numFmtId="164" fontId="19" fillId="0" borderId="0" xfId="0" applyNumberFormat="1" applyFont="1" applyAlignment="1">
      <alignment horizontal="center"/>
    </xf>
    <xf numFmtId="0" fontId="19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164" fontId="12" fillId="0" borderId="0" xfId="0" applyNumberFormat="1" applyFont="1"/>
    <xf numFmtId="164" fontId="19" fillId="0" borderId="0" xfId="0" applyNumberFormat="1" applyFont="1"/>
    <xf numFmtId="0" fontId="8" fillId="2" borderId="1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164" fontId="19" fillId="0" borderId="14" xfId="0" applyNumberFormat="1" applyFont="1" applyBorder="1" applyAlignment="1">
      <alignment horizontal="center"/>
    </xf>
    <xf numFmtId="164" fontId="19" fillId="0" borderId="14" xfId="0" applyNumberFormat="1" applyFont="1" applyBorder="1"/>
    <xf numFmtId="166" fontId="0" fillId="0" borderId="14" xfId="1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19" fillId="0" borderId="0" xfId="0" applyNumberFormat="1" applyFont="1" applyAlignment="1">
      <alignment horizontal="center" vertical="center"/>
    </xf>
    <xf numFmtId="0" fontId="20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26" fillId="2" borderId="0" xfId="0" applyFont="1" applyFill="1" applyAlignment="1" applyProtection="1">
      <alignment horizontal="center" vertical="center" wrapText="1"/>
      <protection locked="0"/>
    </xf>
    <xf numFmtId="0" fontId="3" fillId="8" borderId="0" xfId="0" applyFont="1" applyFill="1" applyAlignment="1">
      <alignment horizontal="left"/>
    </xf>
    <xf numFmtId="0" fontId="25" fillId="0" borderId="0" xfId="0" applyFont="1" applyAlignment="1">
      <alignment horizontal="left"/>
    </xf>
    <xf numFmtId="0" fontId="8" fillId="2" borderId="11" xfId="0" applyFont="1" applyFill="1" applyBorder="1" applyAlignment="1">
      <alignment horizontal="left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4" fontId="30" fillId="0" borderId="23" xfId="0" applyNumberFormat="1" applyFont="1" applyBorder="1" applyAlignment="1">
      <alignment horizontal="center"/>
    </xf>
    <xf numFmtId="164" fontId="30" fillId="0" borderId="23" xfId="0" applyNumberFormat="1" applyFont="1" applyBorder="1"/>
    <xf numFmtId="0" fontId="1" fillId="0" borderId="0" xfId="0" applyFont="1" applyAlignment="1">
      <alignment horizontal="center"/>
    </xf>
    <xf numFmtId="164" fontId="28" fillId="0" borderId="0" xfId="0" applyNumberFormat="1" applyFont="1"/>
    <xf numFmtId="164" fontId="28" fillId="0" borderId="0" xfId="0" applyNumberFormat="1" applyFont="1" applyAlignment="1">
      <alignment horizontal="center" vertical="center" wrapText="1"/>
    </xf>
    <xf numFmtId="164" fontId="28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/>
    </xf>
    <xf numFmtId="14" fontId="19" fillId="0" borderId="0" xfId="0" applyNumberFormat="1" applyFont="1" applyAlignment="1">
      <alignment horizontal="center"/>
    </xf>
    <xf numFmtId="14" fontId="12" fillId="0" borderId="0" xfId="0" applyNumberFormat="1" applyFont="1"/>
    <xf numFmtId="166" fontId="31" fillId="0" borderId="14" xfId="1" applyNumberFormat="1" applyFont="1" applyFill="1" applyBorder="1" applyAlignment="1">
      <alignment horizontal="center"/>
    </xf>
    <xf numFmtId="164" fontId="19" fillId="10" borderId="0" xfId="0" applyNumberFormat="1" applyFont="1" applyFill="1" applyAlignment="1">
      <alignment horizontal="center"/>
    </xf>
    <xf numFmtId="164" fontId="19" fillId="10" borderId="0" xfId="0" applyNumberFormat="1" applyFon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67" fontId="0" fillId="0" borderId="14" xfId="0" applyNumberFormat="1" applyBorder="1" applyAlignment="1">
      <alignment horizontal="right"/>
    </xf>
    <xf numFmtId="1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0" fillId="13" borderId="0" xfId="0" applyFont="1" applyFill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left" wrapText="1"/>
    </xf>
    <xf numFmtId="164" fontId="3" fillId="0" borderId="0" xfId="0" applyNumberFormat="1" applyFont="1" applyAlignment="1">
      <alignment horizontal="left"/>
    </xf>
    <xf numFmtId="164" fontId="3" fillId="0" borderId="14" xfId="0" applyNumberFormat="1" applyFont="1" applyBorder="1" applyAlignment="1">
      <alignment horizontal="left"/>
    </xf>
    <xf numFmtId="164" fontId="33" fillId="0" borderId="14" xfId="0" applyNumberFormat="1" applyFont="1" applyBorder="1" applyAlignment="1">
      <alignment horizontal="left"/>
    </xf>
    <xf numFmtId="164" fontId="20" fillId="0" borderId="13" xfId="0" applyNumberFormat="1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9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164" fontId="11" fillId="0" borderId="0" xfId="0" applyNumberFormat="1" applyFont="1" applyProtection="1">
      <protection locked="0"/>
    </xf>
    <xf numFmtId="164" fontId="24" fillId="0" borderId="0" xfId="0" applyNumberFormat="1" applyFont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19" fillId="0" borderId="0" xfId="0" applyFont="1" applyAlignment="1" applyProtection="1">
      <alignment horizontal="center"/>
      <protection locked="0"/>
    </xf>
    <xf numFmtId="0" fontId="17" fillId="4" borderId="4" xfId="0" applyFont="1" applyFill="1" applyBorder="1" applyAlignment="1">
      <alignment horizontal="center" vertical="center"/>
    </xf>
    <xf numFmtId="0" fontId="17" fillId="4" borderId="4" xfId="0" applyFont="1" applyFill="1" applyBorder="1" applyAlignment="1" applyProtection="1">
      <alignment horizontal="center" vertical="center"/>
      <protection locked="0"/>
    </xf>
    <xf numFmtId="0" fontId="19" fillId="0" borderId="0" xfId="0" applyFont="1" applyProtection="1"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164" fontId="24" fillId="5" borderId="0" xfId="0" applyNumberFormat="1" applyFont="1" applyFill="1" applyProtection="1">
      <protection locked="0"/>
    </xf>
    <xf numFmtId="164" fontId="17" fillId="8" borderId="1" xfId="0" applyNumberFormat="1" applyFont="1" applyFill="1" applyBorder="1" applyAlignment="1" applyProtection="1">
      <alignment horizontal="center" vertical="center"/>
      <protection locked="0"/>
    </xf>
    <xf numFmtId="164" fontId="10" fillId="8" borderId="4" xfId="0" applyNumberFormat="1" applyFont="1" applyFill="1" applyBorder="1" applyAlignment="1" applyProtection="1">
      <alignment horizontal="center" vertical="center"/>
      <protection locked="0"/>
    </xf>
    <xf numFmtId="164" fontId="19" fillId="0" borderId="0" xfId="0" applyNumberFormat="1" applyFont="1" applyAlignment="1">
      <alignment vertical="center"/>
    </xf>
    <xf numFmtId="164" fontId="19" fillId="10" borderId="0" xfId="0" applyNumberFormat="1" applyFont="1" applyFill="1"/>
    <xf numFmtId="164" fontId="19" fillId="10" borderId="0" xfId="0" applyNumberFormat="1" applyFont="1" applyFill="1" applyAlignment="1">
      <alignment vertical="center"/>
    </xf>
    <xf numFmtId="164" fontId="8" fillId="2" borderId="11" xfId="0" applyNumberFormat="1" applyFont="1" applyFill="1" applyBorder="1" applyAlignment="1">
      <alignment horizontal="center"/>
    </xf>
    <xf numFmtId="9" fontId="19" fillId="0" borderId="13" xfId="1" applyFont="1" applyFill="1" applyBorder="1" applyAlignment="1">
      <alignment horizontal="center"/>
    </xf>
    <xf numFmtId="164" fontId="17" fillId="8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>
      <alignment horizontal="left"/>
    </xf>
    <xf numFmtId="164" fontId="28" fillId="0" borderId="0" xfId="1" applyNumberFormat="1" applyFont="1" applyBorder="1" applyAlignment="1" applyProtection="1">
      <alignment horizontal="center" vertical="center"/>
    </xf>
    <xf numFmtId="164" fontId="0" fillId="0" borderId="5" xfId="0" applyNumberFormat="1" applyBorder="1" applyAlignment="1">
      <alignment horizontal="center"/>
    </xf>
    <xf numFmtId="168" fontId="10" fillId="8" borderId="4" xfId="0" applyNumberFormat="1" applyFont="1" applyFill="1" applyBorder="1" applyAlignment="1">
      <alignment horizontal="center" vertical="center"/>
    </xf>
    <xf numFmtId="168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 vertical="center"/>
    </xf>
    <xf numFmtId="168" fontId="8" fillId="2" borderId="12" xfId="0" applyNumberFormat="1" applyFont="1" applyFill="1" applyBorder="1" applyAlignment="1">
      <alignment horizontal="center"/>
    </xf>
    <xf numFmtId="168" fontId="20" fillId="0" borderId="11" xfId="0" applyNumberFormat="1" applyFont="1" applyBorder="1" applyAlignment="1">
      <alignment horizontal="center"/>
    </xf>
    <xf numFmtId="168" fontId="12" fillId="0" borderId="0" xfId="0" applyNumberFormat="1" applyFont="1" applyAlignment="1">
      <alignment horizontal="center"/>
    </xf>
    <xf numFmtId="168" fontId="19" fillId="0" borderId="20" xfId="0" applyNumberFormat="1" applyFont="1" applyBorder="1" applyAlignment="1">
      <alignment horizontal="center"/>
    </xf>
    <xf numFmtId="168" fontId="1" fillId="0" borderId="0" xfId="0" applyNumberFormat="1" applyFont="1" applyAlignment="1">
      <alignment horizontal="center" vertical="center" wrapText="1"/>
    </xf>
    <xf numFmtId="168" fontId="1" fillId="0" borderId="19" xfId="0" applyNumberFormat="1" applyFont="1" applyBorder="1" applyAlignment="1">
      <alignment horizontal="center"/>
    </xf>
    <xf numFmtId="168" fontId="1" fillId="0" borderId="22" xfId="0" applyNumberFormat="1" applyFont="1" applyBorder="1" applyAlignment="1">
      <alignment horizontal="center"/>
    </xf>
    <xf numFmtId="168" fontId="1" fillId="0" borderId="18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12" fillId="0" borderId="0" xfId="0" applyNumberFormat="1" applyFont="1" applyAlignment="1">
      <alignment horizontal="center" vertical="center"/>
    </xf>
    <xf numFmtId="168" fontId="20" fillId="0" borderId="15" xfId="0" applyNumberFormat="1" applyFont="1" applyBorder="1" applyAlignment="1">
      <alignment horizontal="center" vertical="center"/>
    </xf>
    <xf numFmtId="0" fontId="0" fillId="9" borderId="0" xfId="0" applyFill="1" applyAlignment="1" applyProtection="1">
      <alignment horizontal="center" vertical="center"/>
      <protection locked="0"/>
    </xf>
    <xf numFmtId="164" fontId="0" fillId="9" borderId="0" xfId="0" applyNumberFormat="1" applyFill="1"/>
    <xf numFmtId="0" fontId="0" fillId="9" borderId="0" xfId="0" applyFill="1"/>
    <xf numFmtId="164" fontId="0" fillId="10" borderId="0" xfId="0" applyNumberFormat="1" applyFill="1"/>
    <xf numFmtId="0" fontId="0" fillId="16" borderId="0" xfId="0" applyFill="1" applyAlignment="1" applyProtection="1">
      <alignment horizontal="center" vertical="center"/>
      <protection locked="0"/>
    </xf>
    <xf numFmtId="164" fontId="36" fillId="0" borderId="7" xfId="0" applyNumberFormat="1" applyFont="1" applyBorder="1"/>
    <xf numFmtId="0" fontId="4" fillId="9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164" fontId="33" fillId="0" borderId="0" xfId="0" applyNumberFormat="1" applyFont="1"/>
    <xf numFmtId="0" fontId="17" fillId="4" borderId="0" xfId="0" applyFont="1" applyFill="1" applyAlignment="1" applyProtection="1">
      <alignment horizontal="center" vertical="center"/>
      <protection locked="0"/>
    </xf>
    <xf numFmtId="164" fontId="30" fillId="6" borderId="7" xfId="0" applyNumberFormat="1" applyFont="1" applyFill="1" applyBorder="1" applyAlignment="1">
      <alignment horizontal="center"/>
    </xf>
    <xf numFmtId="164" fontId="30" fillId="6" borderId="23" xfId="0" applyNumberFormat="1" applyFont="1" applyFill="1" applyBorder="1" applyAlignment="1">
      <alignment horizontal="center"/>
    </xf>
    <xf numFmtId="164" fontId="4" fillId="6" borderId="7" xfId="0" applyNumberFormat="1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1" fontId="4" fillId="0" borderId="0" xfId="0" applyNumberFormat="1" applyFont="1" applyAlignment="1" applyProtection="1">
      <alignment horizontal="center"/>
      <protection locked="0"/>
    </xf>
    <xf numFmtId="0" fontId="0" fillId="10" borderId="0" xfId="0" applyFill="1"/>
    <xf numFmtId="169" fontId="37" fillId="0" borderId="0" xfId="0" applyNumberFormat="1" applyFont="1" applyProtection="1">
      <protection locked="0"/>
    </xf>
    <xf numFmtId="169" fontId="37" fillId="0" borderId="0" xfId="0" applyNumberFormat="1" applyFont="1" applyAlignment="1" applyProtection="1">
      <alignment horizontal="left"/>
      <protection locked="0"/>
    </xf>
    <xf numFmtId="1" fontId="19" fillId="0" borderId="0" xfId="0" applyNumberFormat="1" applyFont="1" applyProtection="1">
      <protection locked="0"/>
    </xf>
    <xf numFmtId="0" fontId="4" fillId="0" borderId="0" xfId="0" applyFont="1"/>
    <xf numFmtId="164" fontId="36" fillId="0" borderId="14" xfId="0" applyNumberFormat="1" applyFont="1" applyBorder="1" applyAlignment="1">
      <alignment horizontal="center"/>
    </xf>
    <xf numFmtId="168" fontId="38" fillId="0" borderId="16" xfId="0" applyNumberFormat="1" applyFont="1" applyBorder="1" applyAlignment="1">
      <alignment horizontal="center" vertical="center"/>
    </xf>
    <xf numFmtId="164" fontId="26" fillId="15" borderId="17" xfId="0" applyNumberFormat="1" applyFont="1" applyFill="1" applyBorder="1" applyAlignment="1">
      <alignment horizontal="center" vertical="center"/>
    </xf>
    <xf numFmtId="164" fontId="40" fillId="0" borderId="17" xfId="0" applyNumberFormat="1" applyFont="1" applyBorder="1" applyAlignment="1">
      <alignment horizontal="center" vertical="center"/>
    </xf>
    <xf numFmtId="164" fontId="38" fillId="0" borderId="17" xfId="0" applyNumberFormat="1" applyFont="1" applyBorder="1" applyAlignment="1">
      <alignment horizontal="center" vertical="center"/>
    </xf>
    <xf numFmtId="0" fontId="38" fillId="0" borderId="17" xfId="0" applyFont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164" fontId="41" fillId="0" borderId="0" xfId="0" applyNumberFormat="1" applyFont="1"/>
    <xf numFmtId="0" fontId="39" fillId="0" borderId="0" xfId="0" applyFont="1"/>
    <xf numFmtId="42" fontId="10" fillId="0" borderId="0" xfId="2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left"/>
      <protection locked="0"/>
    </xf>
    <xf numFmtId="168" fontId="1" fillId="0" borderId="0" xfId="0" applyNumberFormat="1" applyFont="1" applyAlignment="1">
      <alignment horizontal="center"/>
    </xf>
    <xf numFmtId="0" fontId="4" fillId="0" borderId="0" xfId="0" applyFont="1" applyAlignment="1" applyProtection="1">
      <alignment wrapText="1"/>
      <protection locked="0"/>
    </xf>
    <xf numFmtId="164" fontId="11" fillId="0" borderId="0" xfId="0" applyNumberFormat="1" applyFont="1" applyAlignment="1" applyProtection="1">
      <alignment horizontal="left"/>
      <protection locked="0"/>
    </xf>
    <xf numFmtId="42" fontId="4" fillId="0" borderId="0" xfId="2" applyFont="1" applyBorder="1" applyAlignment="1" applyProtection="1">
      <alignment horizontal="left"/>
      <protection locked="0"/>
    </xf>
    <xf numFmtId="42" fontId="10" fillId="0" borderId="0" xfId="2" applyFont="1" applyAlignment="1" applyProtection="1">
      <alignment horizontal="left"/>
      <protection locked="0"/>
    </xf>
    <xf numFmtId="42" fontId="7" fillId="0" borderId="0" xfId="2" applyFont="1" applyFill="1" applyBorder="1" applyAlignment="1" applyProtection="1">
      <alignment horizontal="left"/>
      <protection locked="0"/>
    </xf>
    <xf numFmtId="42" fontId="11" fillId="0" borderId="0" xfId="2" applyFont="1" applyFill="1" applyBorder="1" applyAlignment="1" applyProtection="1">
      <alignment horizontal="left"/>
      <protection locked="0"/>
    </xf>
    <xf numFmtId="42" fontId="4" fillId="0" borderId="0" xfId="2" applyFont="1" applyBorder="1" applyAlignment="1" applyProtection="1">
      <protection locked="0"/>
    </xf>
    <xf numFmtId="42" fontId="11" fillId="0" borderId="0" xfId="2" applyFont="1" applyBorder="1" applyAlignment="1" applyProtection="1">
      <protection locked="0"/>
    </xf>
    <xf numFmtId="42" fontId="4" fillId="0" borderId="0" xfId="2" applyFont="1" applyFill="1" applyBorder="1" applyAlignment="1" applyProtection="1">
      <protection locked="0"/>
    </xf>
    <xf numFmtId="42" fontId="4" fillId="0" borderId="0" xfId="2" applyFont="1" applyFill="1" applyBorder="1" applyAlignment="1" applyProtection="1">
      <alignment wrapText="1"/>
      <protection locked="0"/>
    </xf>
    <xf numFmtId="42" fontId="4" fillId="0" borderId="0" xfId="0" applyNumberFormat="1" applyFont="1" applyProtection="1">
      <protection locked="0"/>
    </xf>
    <xf numFmtId="42" fontId="0" fillId="0" borderId="0" xfId="0" applyNumberFormat="1" applyProtection="1">
      <protection locked="0"/>
    </xf>
    <xf numFmtId="164" fontId="17" fillId="0" borderId="0" xfId="0" applyNumberFormat="1" applyFont="1"/>
    <xf numFmtId="0" fontId="0" fillId="0" borderId="0" xfId="0" applyAlignment="1" applyProtection="1">
      <alignment horizontal="left" vertical="center"/>
      <protection locked="0"/>
    </xf>
    <xf numFmtId="0" fontId="10" fillId="4" borderId="3" xfId="0" applyFont="1" applyFill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164" fontId="43" fillId="7" borderId="25" xfId="0" applyNumberFormat="1" applyFont="1" applyFill="1" applyBorder="1"/>
    <xf numFmtId="164" fontId="44" fillId="7" borderId="25" xfId="0" applyNumberFormat="1" applyFont="1" applyFill="1" applyBorder="1"/>
    <xf numFmtId="170" fontId="43" fillId="7" borderId="26" xfId="0" applyNumberFormat="1" applyFont="1" applyFill="1" applyBorder="1"/>
    <xf numFmtId="164" fontId="45" fillId="0" borderId="5" xfId="0" applyNumberFormat="1" applyFont="1" applyBorder="1" applyProtection="1">
      <protection locked="0"/>
    </xf>
    <xf numFmtId="164" fontId="43" fillId="0" borderId="5" xfId="0" applyNumberFormat="1" applyFont="1" applyBorder="1" applyProtection="1">
      <protection locked="0"/>
    </xf>
    <xf numFmtId="164" fontId="45" fillId="0" borderId="7" xfId="0" applyNumberFormat="1" applyFont="1" applyBorder="1" applyProtection="1">
      <protection locked="0"/>
    </xf>
    <xf numFmtId="165" fontId="43" fillId="0" borderId="5" xfId="0" applyNumberFormat="1" applyFont="1" applyBorder="1" applyAlignment="1">
      <alignment horizontal="left"/>
    </xf>
    <xf numFmtId="165" fontId="43" fillId="0" borderId="7" xfId="0" applyNumberFormat="1" applyFont="1" applyBorder="1" applyAlignment="1">
      <alignment horizontal="left"/>
    </xf>
    <xf numFmtId="165" fontId="43" fillId="0" borderId="7" xfId="0" applyNumberFormat="1" applyFont="1" applyBorder="1" applyAlignment="1">
      <alignment horizontal="left" vertical="center"/>
    </xf>
    <xf numFmtId="168" fontId="43" fillId="0" borderId="6" xfId="0" applyNumberFormat="1" applyFont="1" applyBorder="1"/>
    <xf numFmtId="164" fontId="46" fillId="5" borderId="7" xfId="0" applyNumberFormat="1" applyFont="1" applyFill="1" applyBorder="1" applyProtection="1">
      <protection locked="0"/>
    </xf>
    <xf numFmtId="164" fontId="44" fillId="0" borderId="5" xfId="0" applyNumberFormat="1" applyFont="1" applyBorder="1"/>
    <xf numFmtId="164" fontId="43" fillId="0" borderId="24" xfId="0" applyNumberFormat="1" applyFont="1" applyBorder="1"/>
    <xf numFmtId="168" fontId="43" fillId="0" borderId="8" xfId="0" applyNumberFormat="1" applyFont="1" applyBorder="1"/>
    <xf numFmtId="168" fontId="43" fillId="0" borderId="8" xfId="0" applyNumberFormat="1" applyFont="1" applyBorder="1" applyAlignment="1">
      <alignment vertical="center"/>
    </xf>
    <xf numFmtId="0" fontId="0" fillId="10" borderId="0" xfId="0" applyFill="1" applyAlignment="1" applyProtection="1">
      <alignment horizontal="left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left" vertical="center"/>
      <protection locked="0"/>
    </xf>
    <xf numFmtId="0" fontId="3" fillId="0" borderId="0" xfId="0" applyFont="1"/>
    <xf numFmtId="42" fontId="7" fillId="0" borderId="0" xfId="2" applyFont="1" applyFill="1" applyBorder="1" applyAlignment="1" applyProtection="1">
      <alignment horizontal="right"/>
      <protection locked="0"/>
    </xf>
    <xf numFmtId="42" fontId="9" fillId="0" borderId="0" xfId="2" applyFont="1" applyFill="1" applyBorder="1" applyAlignment="1" applyProtection="1">
      <alignment horizontal="left"/>
      <protection locked="0"/>
    </xf>
    <xf numFmtId="42" fontId="2" fillId="0" borderId="0" xfId="2" applyFont="1" applyBorder="1" applyAlignment="1" applyProtection="1">
      <alignment horizontal="right"/>
      <protection locked="0"/>
    </xf>
    <xf numFmtId="42" fontId="11" fillId="0" borderId="0" xfId="2" applyFont="1" applyBorder="1" applyAlignment="1" applyProtection="1">
      <alignment horizontal="right"/>
      <protection locked="0"/>
    </xf>
    <xf numFmtId="42" fontId="11" fillId="0" borderId="0" xfId="2" applyFont="1" applyAlignment="1" applyProtection="1">
      <alignment horizontal="right"/>
      <protection locked="0"/>
    </xf>
    <xf numFmtId="0" fontId="0" fillId="12" borderId="0" xfId="0" applyFill="1" applyAlignment="1" applyProtection="1">
      <alignment horizontal="left" vertical="center"/>
      <protection locked="0"/>
    </xf>
    <xf numFmtId="168" fontId="3" fillId="0" borderId="0" xfId="0" applyNumberFormat="1" applyFont="1" applyAlignment="1">
      <alignment horizontal="center"/>
    </xf>
    <xf numFmtId="9" fontId="0" fillId="0" borderId="21" xfId="1" applyFont="1" applyBorder="1" applyAlignment="1">
      <alignment horizontal="center"/>
    </xf>
    <xf numFmtId="164" fontId="12" fillId="17" borderId="0" xfId="0" applyNumberFormat="1" applyFont="1" applyFill="1" applyAlignment="1">
      <alignment horizontal="left"/>
    </xf>
    <xf numFmtId="164" fontId="19" fillId="17" borderId="0" xfId="0" applyNumberFormat="1" applyFont="1" applyFill="1" applyAlignment="1">
      <alignment horizontal="center"/>
    </xf>
    <xf numFmtId="164" fontId="19" fillId="8" borderId="0" xfId="0" applyNumberFormat="1" applyFont="1" applyFill="1" applyAlignment="1">
      <alignment horizontal="center"/>
    </xf>
    <xf numFmtId="164" fontId="0" fillId="8" borderId="0" xfId="0" applyNumberFormat="1" applyFill="1"/>
    <xf numFmtId="164" fontId="3" fillId="18" borderId="0" xfId="0" applyNumberFormat="1" applyFont="1" applyFill="1" applyAlignment="1">
      <alignment horizontal="left"/>
    </xf>
    <xf numFmtId="164" fontId="0" fillId="18" borderId="0" xfId="0" applyNumberFormat="1" applyFill="1" applyAlignment="1">
      <alignment horizontal="center"/>
    </xf>
    <xf numFmtId="9" fontId="0" fillId="18" borderId="0" xfId="1" applyFont="1" applyFill="1" applyBorder="1" applyAlignment="1">
      <alignment horizontal="center"/>
    </xf>
    <xf numFmtId="164" fontId="47" fillId="0" borderId="7" xfId="0" applyNumberFormat="1" applyFont="1" applyBorder="1" applyAlignment="1">
      <alignment horizontal="center"/>
    </xf>
    <xf numFmtId="164" fontId="47" fillId="0" borderId="23" xfId="0" applyNumberFormat="1" applyFont="1" applyBorder="1" applyAlignment="1">
      <alignment horizontal="center"/>
    </xf>
    <xf numFmtId="9" fontId="19" fillId="8" borderId="0" xfId="1" applyFont="1" applyFill="1" applyBorder="1" applyAlignment="1">
      <alignment horizontal="center" vertical="center"/>
    </xf>
    <xf numFmtId="9" fontId="19" fillId="17" borderId="0" xfId="1" applyFont="1" applyFill="1" applyBorder="1" applyAlignment="1">
      <alignment horizontal="center"/>
    </xf>
    <xf numFmtId="9" fontId="3" fillId="8" borderId="0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9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/>
    <xf numFmtId="0" fontId="0" fillId="0" borderId="28" xfId="0" applyBorder="1" applyAlignment="1">
      <alignment horizontal="center" vertical="center"/>
    </xf>
    <xf numFmtId="0" fontId="0" fillId="0" borderId="28" xfId="0" applyBorder="1"/>
    <xf numFmtId="0" fontId="50" fillId="0" borderId="28" xfId="0" applyFont="1" applyBorder="1"/>
    <xf numFmtId="0" fontId="50" fillId="0" borderId="28" xfId="0" applyFont="1" applyBorder="1" applyAlignment="1">
      <alignment vertical="center" wrapText="1"/>
    </xf>
    <xf numFmtId="0" fontId="0" fillId="0" borderId="29" xfId="0" applyBorder="1" applyAlignment="1">
      <alignment horizontal="center" vertical="center"/>
    </xf>
    <xf numFmtId="0" fontId="0" fillId="0" borderId="29" xfId="0" applyBorder="1"/>
    <xf numFmtId="42" fontId="0" fillId="0" borderId="0" xfId="0" applyNumberFormat="1"/>
    <xf numFmtId="42" fontId="12" fillId="0" borderId="0" xfId="0" applyNumberFormat="1" applyFont="1" applyProtection="1">
      <protection locked="0"/>
    </xf>
    <xf numFmtId="171" fontId="0" fillId="0" borderId="14" xfId="0" applyNumberFormat="1" applyBorder="1" applyAlignment="1">
      <alignment horizontal="center"/>
    </xf>
    <xf numFmtId="171" fontId="31" fillId="0" borderId="14" xfId="0" applyNumberFormat="1" applyFont="1" applyBorder="1" applyAlignment="1">
      <alignment horizontal="center"/>
    </xf>
    <xf numFmtId="164" fontId="45" fillId="5" borderId="7" xfId="0" applyNumberFormat="1" applyFont="1" applyFill="1" applyBorder="1" applyProtection="1">
      <protection locked="0"/>
    </xf>
    <xf numFmtId="14" fontId="51" fillId="0" borderId="0" xfId="0" applyNumberFormat="1" applyFont="1" applyProtection="1">
      <protection locked="0"/>
    </xf>
    <xf numFmtId="0" fontId="54" fillId="0" borderId="0" xfId="0" applyFont="1"/>
    <xf numFmtId="0" fontId="55" fillId="0" borderId="0" xfId="0" applyFont="1"/>
    <xf numFmtId="0" fontId="5" fillId="14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 applyProtection="1">
      <alignment horizontal="center" vertical="center"/>
      <protection locked="0"/>
    </xf>
    <xf numFmtId="0" fontId="10" fillId="6" borderId="9" xfId="0" applyFont="1" applyFill="1" applyBorder="1" applyAlignment="1">
      <alignment vertical="center"/>
    </xf>
    <xf numFmtId="0" fontId="10" fillId="6" borderId="10" xfId="0" applyFont="1" applyFill="1" applyBorder="1" applyAlignment="1">
      <alignment vertical="center"/>
    </xf>
    <xf numFmtId="9" fontId="48" fillId="0" borderId="7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5" fillId="12" borderId="0" xfId="0" applyFont="1" applyFill="1" applyAlignment="1">
      <alignment horizontal="center" wrapText="1"/>
    </xf>
    <xf numFmtId="171" fontId="48" fillId="0" borderId="7" xfId="1" applyNumberFormat="1" applyFont="1" applyBorder="1" applyAlignment="1">
      <alignment horizontal="center" vertical="center"/>
    </xf>
    <xf numFmtId="0" fontId="35" fillId="0" borderId="0" xfId="0" applyFont="1" applyAlignment="1">
      <alignment horizontal="center" wrapText="1"/>
    </xf>
    <xf numFmtId="0" fontId="27" fillId="0" borderId="0" xfId="0" applyFont="1" applyAlignment="1">
      <alignment horizontal="left" vertical="top"/>
    </xf>
    <xf numFmtId="164" fontId="42" fillId="9" borderId="1" xfId="0" applyNumberFormat="1" applyFont="1" applyFill="1" applyBorder="1" applyAlignment="1">
      <alignment horizontal="center"/>
    </xf>
    <xf numFmtId="164" fontId="42" fillId="9" borderId="2" xfId="0" applyNumberFormat="1" applyFont="1" applyFill="1" applyBorder="1" applyAlignment="1">
      <alignment horizontal="center"/>
    </xf>
    <xf numFmtId="164" fontId="42" fillId="9" borderId="3" xfId="0" applyNumberFormat="1" applyFont="1" applyFill="1" applyBorder="1" applyAlignment="1">
      <alignment horizontal="center"/>
    </xf>
    <xf numFmtId="0" fontId="42" fillId="10" borderId="1" xfId="0" applyFont="1" applyFill="1" applyBorder="1" applyAlignment="1">
      <alignment horizontal="center"/>
    </xf>
    <xf numFmtId="0" fontId="42" fillId="10" borderId="2" xfId="0" applyFont="1" applyFill="1" applyBorder="1" applyAlignment="1">
      <alignment horizontal="center"/>
    </xf>
    <xf numFmtId="0" fontId="42" fillId="10" borderId="3" xfId="0" applyFont="1" applyFill="1" applyBorder="1" applyAlignment="1">
      <alignment horizontal="center"/>
    </xf>
    <xf numFmtId="0" fontId="42" fillId="11" borderId="1" xfId="0" applyFont="1" applyFill="1" applyBorder="1" applyAlignment="1">
      <alignment horizontal="center"/>
    </xf>
    <xf numFmtId="0" fontId="42" fillId="11" borderId="2" xfId="0" applyFont="1" applyFill="1" applyBorder="1" applyAlignment="1">
      <alignment horizontal="center"/>
    </xf>
    <xf numFmtId="0" fontId="42" fillId="11" borderId="3" xfId="0" applyFont="1" applyFill="1" applyBorder="1" applyAlignment="1">
      <alignment horizontal="center"/>
    </xf>
    <xf numFmtId="0" fontId="3" fillId="0" borderId="0" xfId="0" applyFont="1" applyAlignment="1" applyProtection="1">
      <alignment horizontal="left" vertical="center" wrapText="1"/>
      <protection locked="0"/>
    </xf>
    <xf numFmtId="168" fontId="1" fillId="0" borderId="7" xfId="0" applyNumberFormat="1" applyFont="1" applyBorder="1" applyAlignment="1">
      <alignment horizontal="center" vertical="center" wrapText="1"/>
    </xf>
    <xf numFmtId="164" fontId="28" fillId="0" borderId="7" xfId="0" applyNumberFormat="1" applyFont="1" applyBorder="1" applyAlignment="1">
      <alignment horizontal="center" vertical="center" wrapText="1"/>
    </xf>
    <xf numFmtId="164" fontId="28" fillId="0" borderId="7" xfId="0" applyNumberFormat="1" applyFont="1" applyBorder="1" applyAlignment="1">
      <alignment horizontal="center" vertical="center"/>
    </xf>
    <xf numFmtId="9" fontId="28" fillId="0" borderId="7" xfId="1" applyFont="1" applyBorder="1" applyAlignment="1" applyProtection="1">
      <alignment horizontal="center" vertical="center"/>
    </xf>
    <xf numFmtId="164" fontId="48" fillId="0" borderId="7" xfId="0" applyNumberFormat="1" applyFont="1" applyBorder="1" applyAlignment="1">
      <alignment horizontal="center" vertical="center"/>
    </xf>
    <xf numFmtId="0" fontId="26" fillId="15" borderId="20" xfId="0" applyFont="1" applyFill="1" applyBorder="1" applyAlignment="1">
      <alignment horizontal="center"/>
    </xf>
    <xf numFmtId="0" fontId="26" fillId="15" borderId="0" xfId="0" applyFont="1" applyFill="1" applyAlignment="1">
      <alignment horizontal="center"/>
    </xf>
    <xf numFmtId="164" fontId="48" fillId="0" borderId="7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</cellXfs>
  <cellStyles count="3">
    <cellStyle name="Moneda [0]" xfId="2" builtinId="7"/>
    <cellStyle name="Normal" xfId="0" builtinId="0"/>
    <cellStyle name="Porcentaje" xfId="1" builtinId="5"/>
  </cellStyles>
  <dxfs count="64">
    <dxf>
      <numFmt numFmtId="32" formatCode="_ &quot;$&quot;* #,##0_ ;_ &quot;$&quot;* \-#,##0_ ;_ &quot;$&quot;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_-[$$-340A]\ * #,##0_-;\-[$$-340A]\ * #,##0_-;_-[$$-340A]\ * &quot;-&quot;_-;_-@_-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_-[$$-340A]\ * #,##0_-;\-[$$-340A]\ * #,##0_-;_-[$$-340A]\ * &quot;-&quot;_-;_-@_-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$-340A]\ * #,##0_-;\-[$$-340A]\ * #,##0_-;_-[$$-340A]\ 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dd\-mm\-yy;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numFmt numFmtId="164" formatCode="_-[$$-340A]\ * #,##0_-;\-[$$-340A]\ * #,##0_-;_-[$$-340A]\ * &quot;-&quot;_-;_-@_-"/>
      <alignment horizontal="center" vertical="bottom" textRotation="0" wrapText="0" indent="0" justifyLastLine="0" shrinkToFit="0" readingOrder="0"/>
    </dxf>
    <dxf>
      <numFmt numFmtId="164" formatCode="_-[$$-340A]\ * #,##0_-;\-[$$-340A]\ * #,##0_-;_-[$$-340A]\ * &quot;-&quot;_-;_-@_-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-[$$-340A]\ * #,##0_-;\-[$$-340A]\ * #,##0_-;_-[$$-340A]\ 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$-340A]\ * #,##0_-;\-[$$-340A]\ * #,##0_-;_-[$$-340A]\ * &quot;-&quot;_-;_-@_-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_-[$$-340A]\ * #,##0_-;\-[$$-340A]\ * #,##0_-;_-[$$-340A]\ * &quot;-&quot;_-;_-@_-"/>
      <fill>
        <patternFill patternType="solid">
          <fgColor indexed="64"/>
          <bgColor theme="6" tint="0.5999938962981048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[$$-340A]\ * #,##0_-;\-[$$-340A]\ * #,##0_-;_-[$$-340A]\ * &quot;-&quot;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[$$-340A]\ * #,##0_-;\-[$$-340A]\ * #,##0_-;_-[$$-340A]\ * &quot;-&quot;_-;_-@_-"/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-[$$-340A]\ * #,##0_-;\-[$$-340A]\ * #,##0_-;_-[$$-340A]\ * &quot;-&quot;_-;_-@_-"/>
      <fill>
        <patternFill patternType="solid">
          <fgColor indexed="64"/>
          <bgColor theme="5" tint="0.59999389629810485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dd\-mm\-yy;@"/>
      <alignment horizontal="center" vertical="bottom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color theme="0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</font>
      <alignment horizontal="left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[$$-340A]\ * #,##0_-;\-[$$-340A]\ * #,##0_-;_-[$$-340A]\ 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[$$-340A]\ * #,##0_-;\-[$$-340A]\ * #,##0_-;_-[$$-340A]\ 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[$$-340A]\ * #,##0_-;\-[$$-340A]\ * #,##0_-;_-[$$-340A]\ 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[$$-340A]\ * #,##0_-;\-[$$-340A]\ * #,##0_-;_-[$$-340A]\ 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[$$-340A]\ * #,##0_-;\-[$$-340A]\ * #,##0_-;_-[$$-340A]\ 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[$$-340A]\ * #,##0_-;\-[$$-340A]\ * #,##0_-;_-[$$-340A]\ 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8" formatCode="dd\-mm\-yy;@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99FF99"/>
      <color rgb="FFFF99FF"/>
      <color rgb="FF602000"/>
      <color rgb="FFBC3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2021</c:v>
          </c:tx>
          <c:spPr>
            <a:ln w="22225" cap="rnd">
              <a:solidFill>
                <a:srgbClr val="F79646">
                  <a:lumMod val="60000"/>
                  <a:lumOff val="40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Ventas'!$B$2678:$B$2689</c:f>
              <c:numCache>
                <c:formatCode>_-[$$-340A]\ * #,##0_-;\-[$$-340A]\ * #,##0_-;_-[$$-340A]\ * "-"_-;_-@_-</c:formatCode>
                <c:ptCount val="12"/>
                <c:pt idx="7">
                  <c:v>755700</c:v>
                </c:pt>
                <c:pt idx="8">
                  <c:v>1000000</c:v>
                </c:pt>
                <c:pt idx="9">
                  <c:v>637600</c:v>
                </c:pt>
                <c:pt idx="10">
                  <c:v>650000</c:v>
                </c:pt>
                <c:pt idx="11">
                  <c:v>1495200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F-4FEC-BEB8-8DF358FAAB38}"/>
            </c:ext>
          </c:extLst>
        </c:ser>
        <c:ser>
          <c:idx val="1"/>
          <c:order val="1"/>
          <c:tx>
            <c:v>2022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Ventas'!$C$2678:$C$2689</c:f>
              <c:numCache>
                <c:formatCode>_-[$$-340A]\ * #,##0_-;\-[$$-340A]\ * #,##0_-;_-[$$-340A]\ * "-"_-;_-@_-</c:formatCode>
                <c:ptCount val="12"/>
                <c:pt idx="0">
                  <c:v>790010</c:v>
                </c:pt>
                <c:pt idx="1">
                  <c:v>1562050</c:v>
                </c:pt>
                <c:pt idx="2">
                  <c:v>1264300</c:v>
                </c:pt>
                <c:pt idx="3">
                  <c:v>2111500</c:v>
                </c:pt>
                <c:pt idx="4">
                  <c:v>1988900</c:v>
                </c:pt>
                <c:pt idx="5">
                  <c:v>1559200</c:v>
                </c:pt>
                <c:pt idx="6">
                  <c:v>759700</c:v>
                </c:pt>
                <c:pt idx="7">
                  <c:v>1325700</c:v>
                </c:pt>
                <c:pt idx="8">
                  <c:v>3196550</c:v>
                </c:pt>
                <c:pt idx="9">
                  <c:v>2203700</c:v>
                </c:pt>
                <c:pt idx="10">
                  <c:v>1403090</c:v>
                </c:pt>
                <c:pt idx="11">
                  <c:v>5576300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F-4FEC-BEB8-8DF358FAAB38}"/>
            </c:ext>
          </c:extLst>
        </c:ser>
        <c:ser>
          <c:idx val="2"/>
          <c:order val="2"/>
          <c:tx>
            <c:v>2023</c:v>
          </c:tx>
          <c:spPr>
            <a:ln w="22225" cap="rnd">
              <a:solidFill>
                <a:srgbClr val="FFFF00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Ventas'!$D$2678:$D$2689</c:f>
              <c:numCache>
                <c:formatCode>_-[$$-340A]\ * #,##0_-;\-[$$-340A]\ * #,##0_-;_-[$$-340A]\ * "-"_-;_-@_-</c:formatCode>
                <c:ptCount val="12"/>
                <c:pt idx="0">
                  <c:v>1419900</c:v>
                </c:pt>
                <c:pt idx="1">
                  <c:v>1802168</c:v>
                </c:pt>
                <c:pt idx="2">
                  <c:v>1093820</c:v>
                </c:pt>
                <c:pt idx="3">
                  <c:v>2162003</c:v>
                </c:pt>
                <c:pt idx="4">
                  <c:v>1755582</c:v>
                </c:pt>
                <c:pt idx="5">
                  <c:v>2830372</c:v>
                </c:pt>
                <c:pt idx="6">
                  <c:v>2621344</c:v>
                </c:pt>
                <c:pt idx="7">
                  <c:v>3519600</c:v>
                </c:pt>
                <c:pt idx="8">
                  <c:v>4091904</c:v>
                </c:pt>
                <c:pt idx="9">
                  <c:v>1905021</c:v>
                </c:pt>
                <c:pt idx="10">
                  <c:v>4338452</c:v>
                </c:pt>
                <c:pt idx="11">
                  <c:v>11409354.91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3F-4FEC-BEB8-8DF358FAAB38}"/>
            </c:ext>
          </c:extLst>
        </c:ser>
        <c:ser>
          <c:idx val="3"/>
          <c:order val="3"/>
          <c:tx>
            <c:v>2024</c:v>
          </c:tx>
          <c:spPr>
            <a:ln w="22225" cap="rnd">
              <a:solidFill>
                <a:srgbClr val="99FF99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Ventas'!$E$2678:$E$2689</c:f>
              <c:numCache>
                <c:formatCode>_-[$$-340A]\ * #,##0_-;\-[$$-340A]\ * #,##0_-;_-[$$-340A]\ * "-"_-;_-@_-</c:formatCode>
                <c:ptCount val="12"/>
                <c:pt idx="0">
                  <c:v>4724600</c:v>
                </c:pt>
                <c:pt idx="1">
                  <c:v>2657000</c:v>
                </c:pt>
                <c:pt idx="2">
                  <c:v>8061950</c:v>
                </c:pt>
                <c:pt idx="3">
                  <c:v>8412727.7599999998</c:v>
                </c:pt>
                <c:pt idx="4">
                  <c:v>4111490</c:v>
                </c:pt>
                <c:pt idx="5">
                  <c:v>3961280</c:v>
                </c:pt>
                <c:pt idx="6">
                  <c:v>4235041</c:v>
                </c:pt>
                <c:pt idx="7">
                  <c:v>4274272.1100000003</c:v>
                </c:pt>
                <c:pt idx="8">
                  <c:v>9256585</c:v>
                </c:pt>
                <c:pt idx="9">
                  <c:v>6423378</c:v>
                </c:pt>
                <c:pt idx="10">
                  <c:v>5546079</c:v>
                </c:pt>
                <c:pt idx="11">
                  <c:v>10449038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3F-4FEC-BEB8-8DF358FAAB38}"/>
            </c:ext>
          </c:extLst>
        </c:ser>
        <c:ser>
          <c:idx val="4"/>
          <c:order val="4"/>
          <c:tx>
            <c:v>2025</c:v>
          </c:tx>
          <c:spPr>
            <a:ln w="22225" cap="rnd">
              <a:solidFill>
                <a:srgbClr val="1F497D">
                  <a:lumMod val="60000"/>
                  <a:lumOff val="40000"/>
                </a:srgbClr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Ventas'!$F$2678:$F$2689</c:f>
              <c:numCache>
                <c:formatCode>_-[$$-340A]\ * #,##0_-;\-[$$-340A]\ * #,##0_-;_-[$$-340A]\ * "-"_-;_-@_-</c:formatCode>
                <c:ptCount val="12"/>
                <c:pt idx="0">
                  <c:v>6988637</c:v>
                </c:pt>
                <c:pt idx="1">
                  <c:v>2827327</c:v>
                </c:pt>
                <c:pt idx="2">
                  <c:v>1657625</c:v>
                </c:pt>
                <c:pt idx="3">
                  <c:v>3246895</c:v>
                </c:pt>
                <c:pt idx="4">
                  <c:v>5014515</c:v>
                </c:pt>
                <c:pt idx="5">
                  <c:v>3479869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3F-4FEC-BEB8-8DF358FAA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389600"/>
        <c:axId val="397388616"/>
      </c:lineChart>
      <c:catAx>
        <c:axId val="3973896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7388616"/>
        <c:crosses val="autoZero"/>
        <c:auto val="1"/>
        <c:lblAlgn val="ctr"/>
        <c:lblOffset val="100"/>
        <c:noMultiLvlLbl val="0"/>
      </c:catAx>
      <c:valAx>
        <c:axId val="3973886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$-340A]\ * #,##0_-;\-[$$-340A]\ * #,##0_-;_-[$$-340A]\ 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73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ysClr val="windowText" lastClr="000000">
        <a:lumMod val="95000"/>
        <a:lumOff val="5000"/>
      </a:sys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INCREMENTO 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'Historial Ventas'!$K$2677</c:f>
              <c:strCache>
                <c:ptCount val="1"/>
                <c:pt idx="0">
                  <c:v>2021 / 2022</c:v>
                </c:pt>
              </c:strCache>
            </c:strRef>
          </c:tx>
          <c:spPr>
            <a:ln w="22225" cap="rnd">
              <a:solidFill>
                <a:srgbClr val="F79646">
                  <a:lumMod val="60000"/>
                  <a:lumOff val="40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Ventas'!$K$2678:$K$2689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0.75426756649464077</c:v>
                </c:pt>
                <c:pt idx="8">
                  <c:v>2.1965499999999998</c:v>
                </c:pt>
                <c:pt idx="9">
                  <c:v>2.4562421580928482</c:v>
                </c:pt>
                <c:pt idx="10">
                  <c:v>1.1586000000000001</c:v>
                </c:pt>
                <c:pt idx="11">
                  <c:v>2.7294676297485285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F-4981-8A26-66809245A6E9}"/>
            </c:ext>
          </c:extLst>
        </c:ser>
        <c:ser>
          <c:idx val="1"/>
          <c:order val="1"/>
          <c:tx>
            <c:strRef>
              <c:f>'Historial Ventas'!$L$2677</c:f>
              <c:strCache>
                <c:ptCount val="1"/>
                <c:pt idx="0">
                  <c:v>2022 / 2023</c:v>
                </c:pt>
              </c:strCache>
            </c:strRef>
          </c:tx>
          <c:spPr>
            <a:ln w="22225" cap="rnd">
              <a:solidFill>
                <a:srgbClr val="FFFF0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Ventas'!$L$2678:$L$2689</c:f>
              <c:numCache>
                <c:formatCode>0.0%</c:formatCode>
                <c:ptCount val="12"/>
                <c:pt idx="0">
                  <c:v>0.79731902127821164</c:v>
                </c:pt>
                <c:pt idx="1">
                  <c:v>0.15371979129989438</c:v>
                </c:pt>
                <c:pt idx="2">
                  <c:v>-0.13484141422130824</c:v>
                </c:pt>
                <c:pt idx="3">
                  <c:v>2.3918067724366564E-2</c:v>
                </c:pt>
                <c:pt idx="4">
                  <c:v>-0.1173100708934587</c:v>
                </c:pt>
                <c:pt idx="5">
                  <c:v>0.81527193432529499</c:v>
                </c:pt>
                <c:pt idx="6">
                  <c:v>2.4504988811372912</c:v>
                </c:pt>
                <c:pt idx="7">
                  <c:v>1.6548992984838198</c:v>
                </c:pt>
                <c:pt idx="8">
                  <c:v>0.28010010792886081</c:v>
                </c:pt>
                <c:pt idx="9">
                  <c:v>-0.13553523619367427</c:v>
                </c:pt>
                <c:pt idx="10">
                  <c:v>2.0920696462807089</c:v>
                </c:pt>
                <c:pt idx="11">
                  <c:v>1.04604395566953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F-4981-8A26-66809245A6E9}"/>
            </c:ext>
          </c:extLst>
        </c:ser>
        <c:ser>
          <c:idx val="2"/>
          <c:order val="2"/>
          <c:tx>
            <c:strRef>
              <c:f>'Historial Ventas'!$M$2677</c:f>
              <c:strCache>
                <c:ptCount val="1"/>
                <c:pt idx="0">
                  <c:v>2023 / 2024</c:v>
                </c:pt>
              </c:strCache>
            </c:strRef>
          </c:tx>
          <c:spPr>
            <a:ln w="22225" cap="rnd">
              <a:solidFill>
                <a:srgbClr val="99FF99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Ventas'!$M$2678:$M$2689</c:f>
              <c:numCache>
                <c:formatCode>0.0%</c:formatCode>
                <c:ptCount val="12"/>
                <c:pt idx="0">
                  <c:v>2.3274174237622369</c:v>
                </c:pt>
                <c:pt idx="1">
                  <c:v>0.47433535608222988</c:v>
                </c:pt>
                <c:pt idx="2">
                  <c:v>6.3704540052293792</c:v>
                </c:pt>
                <c:pt idx="3">
                  <c:v>2.8911730279745216</c:v>
                </c:pt>
                <c:pt idx="4">
                  <c:v>1.3419526971682325</c:v>
                </c:pt>
                <c:pt idx="5">
                  <c:v>0.39956161239582644</c:v>
                </c:pt>
                <c:pt idx="6">
                  <c:v>0.61559909725697959</c:v>
                </c:pt>
                <c:pt idx="7">
                  <c:v>0.21441985168769187</c:v>
                </c:pt>
                <c:pt idx="8">
                  <c:v>1.2621706178835086</c:v>
                </c:pt>
                <c:pt idx="9">
                  <c:v>2.3718147988919807</c:v>
                </c:pt>
                <c:pt idx="10">
                  <c:v>0.27835435311949974</c:v>
                </c:pt>
                <c:pt idx="11">
                  <c:v>-8.4169255630597267E-2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5F-4981-8A26-66809245A6E9}"/>
            </c:ext>
          </c:extLst>
        </c:ser>
        <c:ser>
          <c:idx val="3"/>
          <c:order val="3"/>
          <c:tx>
            <c:strRef>
              <c:f>'Historial Ventas'!$N$2677</c:f>
              <c:strCache>
                <c:ptCount val="1"/>
                <c:pt idx="0">
                  <c:v>2024 / 2025</c:v>
                </c:pt>
              </c:strCache>
            </c:strRef>
          </c:tx>
          <c:spPr>
            <a:ln w="22225" cap="rnd">
              <a:solidFill>
                <a:srgbClr val="1F497D">
                  <a:lumMod val="60000"/>
                  <a:lumOff val="40000"/>
                </a:srgbClr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'Historial Ventas'!$A$2678:$A$2689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'Historial Ventas'!$N$2678:$N$2689</c:f>
              <c:numCache>
                <c:formatCode>0.0%</c:formatCode>
                <c:ptCount val="12"/>
                <c:pt idx="0">
                  <c:v>0.47920183719256659</c:v>
                </c:pt>
                <c:pt idx="1">
                  <c:v>6.4105005645464813E-2</c:v>
                </c:pt>
                <c:pt idx="2">
                  <c:v>-0.7943890746035388</c:v>
                </c:pt>
                <c:pt idx="3">
                  <c:v>-0.61404967655817733</c:v>
                </c:pt>
                <c:pt idx="4">
                  <c:v>0.21963448774045419</c:v>
                </c:pt>
                <c:pt idx="5">
                  <c:v>-0.12152915219323047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5F-4981-8A26-66809245A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389600"/>
        <c:axId val="397388616"/>
      </c:lineChart>
      <c:catAx>
        <c:axId val="39738960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7388616"/>
        <c:crosses val="autoZero"/>
        <c:auto val="1"/>
        <c:lblAlgn val="ctr"/>
        <c:lblOffset val="100"/>
        <c:noMultiLvlLbl val="0"/>
      </c:catAx>
      <c:valAx>
        <c:axId val="3973886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73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712521915136309"/>
          <c:y val="0.12539379496970099"/>
          <c:w val="0.56498556612035733"/>
          <c:h val="6.5940638840898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8.2300785898508338E-2"/>
          <c:y val="0.11837639905039166"/>
          <c:w val="0.84344325257869335"/>
          <c:h val="0.80553251210254784"/>
        </c:manualLayout>
      </c:layout>
      <c:barChart>
        <c:barDir val="col"/>
        <c:grouping val="stacked"/>
        <c:varyColors val="0"/>
        <c:ser>
          <c:idx val="0"/>
          <c:order val="0"/>
          <c:tx>
            <c:v>Ventas por año</c:v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'Historial Ventas'!$B$2677:$F$2677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'Historial Ventas'!$B$2690:$F$2690</c:f>
              <c:numCache>
                <c:formatCode>_-[$$-340A]\ * #,##0_-;\-[$$-340A]\ * #,##0_-;_-[$$-340A]\ * "-"_-;_-@_-</c:formatCode>
                <c:ptCount val="5"/>
                <c:pt idx="0">
                  <c:v>4538500</c:v>
                </c:pt>
                <c:pt idx="1">
                  <c:v>23741000</c:v>
                </c:pt>
                <c:pt idx="2">
                  <c:v>38949520.909999996</c:v>
                </c:pt>
                <c:pt idx="3">
                  <c:v>72113440.870000005</c:v>
                </c:pt>
                <c:pt idx="4">
                  <c:v>23214868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56-4564-A43D-52F889B81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683439"/>
        <c:axId val="215684271"/>
      </c:barChart>
      <c:catAx>
        <c:axId val="21568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15684271"/>
        <c:crosses val="autoZero"/>
        <c:auto val="1"/>
        <c:lblAlgn val="ctr"/>
        <c:lblOffset val="100"/>
        <c:noMultiLvlLbl val="0"/>
      </c:catAx>
      <c:valAx>
        <c:axId val="21568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340A]\ * #,##0_-;\-[$$-340A]\ * #,##0_-;_-[$$-340A]\ 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21568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E$2" max="2040" min="2020" page="10" val="2022"/>
</file>

<file path=xl/ctrlProps/ctrlProp2.xml><?xml version="1.0" encoding="utf-8"?>
<formControlPr xmlns="http://schemas.microsoft.com/office/spreadsheetml/2009/9/main" objectType="Spin" dx="22" fmlaLink="$H$2" max="12" min="1" page="10" val="7"/>
</file>

<file path=xl/ctrlProps/ctrlProp3.xml><?xml version="1.0" encoding="utf-8"?>
<formControlPr xmlns="http://schemas.microsoft.com/office/spreadsheetml/2009/9/main" objectType="Spin" dx="22" fmlaLink="$J$2" max="31" min="28" page="10" val="3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1</xdr:row>
          <xdr:rowOff>0</xdr:rowOff>
        </xdr:from>
        <xdr:to>
          <xdr:col>4</xdr:col>
          <xdr:colOff>708660</xdr:colOff>
          <xdr:row>1</xdr:row>
          <xdr:rowOff>297180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0</xdr:row>
          <xdr:rowOff>632460</xdr:rowOff>
        </xdr:from>
        <xdr:to>
          <xdr:col>7</xdr:col>
          <xdr:colOff>487680</xdr:colOff>
          <xdr:row>2</xdr:row>
          <xdr:rowOff>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</xdr:colOff>
          <xdr:row>0</xdr:row>
          <xdr:rowOff>617220</xdr:rowOff>
        </xdr:from>
        <xdr:to>
          <xdr:col>9</xdr:col>
          <xdr:colOff>480060</xdr:colOff>
          <xdr:row>1</xdr:row>
          <xdr:rowOff>297180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11905</xdr:colOff>
      <xdr:row>0</xdr:row>
      <xdr:rowOff>0</xdr:rowOff>
    </xdr:from>
    <xdr:to>
      <xdr:col>3</xdr:col>
      <xdr:colOff>121708</xdr:colOff>
      <xdr:row>3</xdr:row>
      <xdr:rowOff>79053</xdr:rowOff>
    </xdr:to>
    <xdr:pic macro="[0]!CrearHistoria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5" y="0"/>
          <a:ext cx="833438" cy="829147"/>
        </a:xfrm>
        <a:prstGeom prst="rect">
          <a:avLst/>
        </a:prstGeom>
      </xdr:spPr>
    </xdr:pic>
    <xdr:clientData/>
  </xdr:twoCellAnchor>
  <xdr:twoCellAnchor>
    <xdr:from>
      <xdr:col>10</xdr:col>
      <xdr:colOff>683560</xdr:colOff>
      <xdr:row>0</xdr:row>
      <xdr:rowOff>112759</xdr:rowOff>
    </xdr:from>
    <xdr:to>
      <xdr:col>20</xdr:col>
      <xdr:colOff>605401</xdr:colOff>
      <xdr:row>15</xdr:row>
      <xdr:rowOff>184650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627529</xdr:colOff>
      <xdr:row>35</xdr:row>
      <xdr:rowOff>44122</xdr:rowOff>
    </xdr:from>
    <xdr:to>
      <xdr:col>20</xdr:col>
      <xdr:colOff>718160</xdr:colOff>
      <xdr:row>49</xdr:row>
      <xdr:rowOff>128068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654845</xdr:colOff>
      <xdr:row>15</xdr:row>
      <xdr:rowOff>178594</xdr:rowOff>
    </xdr:from>
    <xdr:to>
      <xdr:col>20</xdr:col>
      <xdr:colOff>619125</xdr:colOff>
      <xdr:row>35</xdr:row>
      <xdr:rowOff>71437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a6" displayName="Tabla6" ref="A2677:N2690" headerRowCount="0" totalsRowShown="0" headerRowDxfId="56" tableBorderDxfId="55">
  <tableColumns count="14">
    <tableColumn id="1" xr3:uid="{00000000-0010-0000-0100-000001000000}" name="Columna1" headerRowDxfId="54" dataDxfId="53"/>
    <tableColumn id="2" xr3:uid="{00000000-0010-0000-0100-000002000000}" name="Columna2" headerRowDxfId="52" dataDxfId="51"/>
    <tableColumn id="3" xr3:uid="{00000000-0010-0000-0100-000003000000}" name="Columna3" headerRowDxfId="50" dataDxfId="49"/>
    <tableColumn id="4" xr3:uid="{00000000-0010-0000-0100-000004000000}" name="Columna4" headerRowDxfId="48" dataDxfId="47"/>
    <tableColumn id="5" xr3:uid="{00000000-0010-0000-0100-000005000000}" name="Columna5" headerRowDxfId="46" dataDxfId="45"/>
    <tableColumn id="6" xr3:uid="{00000000-0010-0000-0100-000006000000}" name="Columna6" headerRowDxfId="44" dataDxfId="43"/>
    <tableColumn id="7" xr3:uid="{00000000-0010-0000-0100-000007000000}" name="Columna7" headerRowDxfId="42" dataDxfId="41"/>
    <tableColumn id="8" xr3:uid="{00000000-0010-0000-0100-000008000000}" name="Columna8" headerRowDxfId="40" dataDxfId="39"/>
    <tableColumn id="9" xr3:uid="{00000000-0010-0000-0100-000009000000}" name="Columna9" headerRowDxfId="38"/>
    <tableColumn id="10" xr3:uid="{00000000-0010-0000-0100-00000A000000}" name="Columna10" headerRowDxfId="37"/>
    <tableColumn id="11" xr3:uid="{00000000-0010-0000-0100-00000B000000}" name="Columna11" headerRowDxfId="36"/>
    <tableColumn id="12" xr3:uid="{00000000-0010-0000-0100-00000C000000}" name="Columna12" headerRowDxfId="35"/>
    <tableColumn id="13" xr3:uid="{00000000-0010-0000-0100-00000D000000}" name="Columna13" headerRowDxfId="34"/>
    <tableColumn id="14" xr3:uid="{00000000-0010-0000-0100-00000E000000}" name="Columna14" headerRow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2693:M2705" totalsRowShown="0" headerRowDxfId="32">
  <tableColumns count="13">
    <tableColumn id="1" xr3:uid="{00000000-0010-0000-0200-000001000000}" name="Mes" dataDxfId="31"/>
    <tableColumn id="2" xr3:uid="{00000000-0010-0000-0200-000002000000}" name="Ventas 2022" dataDxfId="30">
      <calculatedColumnFormula>C2678</calculatedColumnFormula>
    </tableColumn>
    <tableColumn id="3" xr3:uid="{00000000-0010-0000-0200-000003000000}" name="Gastos 2022" dataDxfId="29"/>
    <tableColumn id="4" xr3:uid="{00000000-0010-0000-0200-000004000000}" name="% Gastos 2022" dataDxfId="28" dataCellStyle="Porcentaje">
      <calculatedColumnFormula>(C2694)/B2694</calculatedColumnFormula>
    </tableColumn>
    <tableColumn id="5" xr3:uid="{00000000-0010-0000-0200-000005000000}" name="Ventas 2023" dataDxfId="27">
      <calculatedColumnFormula>D2678</calculatedColumnFormula>
    </tableColumn>
    <tableColumn id="6" xr3:uid="{00000000-0010-0000-0200-000006000000}" name="Gastos 2023" dataDxfId="26">
      <calculatedColumnFormula>IFERROR(VLOOKUP($Q2693,$A$1:F2656,6,FALSE),0)</calculatedColumnFormula>
    </tableColumn>
    <tableColumn id="7" xr3:uid="{00000000-0010-0000-0200-000007000000}" name="% Gastos 2023" dataDxfId="25" dataCellStyle="Porcentaje">
      <calculatedColumnFormula>IFERROR(F2694/E2694,"")</calculatedColumnFormula>
    </tableColumn>
    <tableColumn id="8" xr3:uid="{00000000-0010-0000-0200-000008000000}" name="Ventas 2024" dataDxfId="24">
      <calculatedColumnFormula>E2678</calculatedColumnFormula>
    </tableColumn>
    <tableColumn id="9" xr3:uid="{00000000-0010-0000-0200-000009000000}" name="Gastos 2024" dataDxfId="23">
      <calculatedColumnFormula>IFERROR(VLOOKUP($Q2705,$A$1:F2666,5,FALSE),0)</calculatedColumnFormula>
    </tableColumn>
    <tableColumn id="10" xr3:uid="{00000000-0010-0000-0200-00000A000000}" name="% Gastos 2024" dataDxfId="22" dataCellStyle="Porcentaje">
      <calculatedColumnFormula>IFERROR(I2694/H2694,"")</calculatedColumnFormula>
    </tableColumn>
    <tableColumn id="11" xr3:uid="{00000000-0010-0000-0200-00000B000000}" name="Ventas 2025" dataDxfId="21">
      <calculatedColumnFormula>F2678</calculatedColumnFormula>
    </tableColumn>
    <tableColumn id="12" xr3:uid="{00000000-0010-0000-0200-00000C000000}" name="Gastos 2025" dataDxfId="20">
      <calculatedColumnFormula>IFERROR(VLOOKUP($Q2717,$A$1:I2666,5,FALSE),0)</calculatedColumnFormula>
    </tableColumn>
    <tableColumn id="13" xr3:uid="{00000000-0010-0000-0200-00000D000000}" name="% Gastos 2025" dataDxfId="19" dataCellStyle="Porcentaje">
      <calculatedColumnFormula>IFERROR(L2694/K2694,"")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7" displayName="Tabla7" ref="A2711:M2724" totalsRowShown="0" headerRowDxfId="18" dataDxfId="16" headerRowBorderDxfId="17" tableBorderDxfId="15" totalsRowBorderDxfId="14">
  <tableColumns count="13">
    <tableColumn id="1" xr3:uid="{00000000-0010-0000-0300-000001000000}" name="Fecha" dataDxfId="13"/>
    <tableColumn id="2" xr3:uid="{00000000-0010-0000-0300-000002000000}" name="Facturas 2022" dataDxfId="12"/>
    <tableColumn id="3" xr3:uid="{00000000-0010-0000-0300-000003000000}" name="Boletas 2022" dataDxfId="11"/>
    <tableColumn id="4" xr3:uid="{00000000-0010-0000-0300-000004000000}" name="TOTAL 2022" dataDxfId="10">
      <calculatedColumnFormula>C2712+B2712</calculatedColumnFormula>
    </tableColumn>
    <tableColumn id="5" xr3:uid="{00000000-0010-0000-0300-000005000000}" name="Facturas 2023" dataDxfId="9"/>
    <tableColumn id="6" xr3:uid="{00000000-0010-0000-0300-000006000000}" name="Boletas 2023" dataDxfId="8"/>
    <tableColumn id="8" xr3:uid="{00000000-0010-0000-0300-000008000000}" name="TOTAL 2023" dataDxfId="7">
      <calculatedColumnFormula>Tabla7[[#This Row],[Boletas 2023]]+Tabla7[[#This Row],[Facturas 2023]]</calculatedColumnFormula>
    </tableColumn>
    <tableColumn id="7" xr3:uid="{00000000-0010-0000-0300-000007000000}" name="Factura 2024" dataDxfId="6"/>
    <tableColumn id="9" xr3:uid="{00000000-0010-0000-0300-000009000000}" name="Boleta 2024" dataDxfId="5"/>
    <tableColumn id="10" xr3:uid="{00000000-0010-0000-0300-00000A000000}" name="TOTAL 2024" dataDxfId="4">
      <calculatedColumnFormula>Tabla7[[#This Row],[Boleta 2024]]+Tabla7[[#This Row],[Factura 2024]]</calculatedColumnFormula>
    </tableColumn>
    <tableColumn id="11" xr3:uid="{305721D8-F619-49F9-8548-0D5B112D9835}" name="Factura 2025" dataDxfId="3"/>
    <tableColumn id="12" xr3:uid="{B8169ABF-28BF-452E-9578-F7830262BD31}" name="Boleta 2025" dataDxfId="2"/>
    <tableColumn id="13" xr3:uid="{D4A00372-4693-457A-8681-DC513F155018}" name="TOTAL 2025" dataDxfId="1">
      <calculatedColumnFormula>Tabla7[[#This Row],[Boleta 2025]]+Tabla7[[#This Row],[Factura 2025]]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FA0B38-AC63-42D7-90A0-81BD34CC2A68}" name="Tabla1" displayName="Tabla1" ref="A3:B18" totalsRowShown="0">
  <autoFilter ref="A3:B18" xr:uid="{00FA0B38-AC63-42D7-90A0-81BD34CC2A68}"/>
  <tableColumns count="2">
    <tableColumn id="1" xr3:uid="{3ABAFE5F-6F93-4B3B-82EE-EF88C2413BA8}" name="Item"/>
    <tableColumn id="2" xr3:uid="{9D164694-75B6-42CE-8FDE-4DF1F8AD6BDE}" name="Gas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rgb="FFFFFF00"/>
  </sheetPr>
  <dimension ref="A1:W1046909"/>
  <sheetViews>
    <sheetView showGridLines="0" tabSelected="1" topLeftCell="B1" zoomScale="85" zoomScaleNormal="85" workbookViewId="0">
      <selection activeCell="H32" sqref="H32"/>
    </sheetView>
  </sheetViews>
  <sheetFormatPr baseColWidth="10" defaultColWidth="11.44140625" defaultRowHeight="14.4" x14ac:dyDescent="0.3"/>
  <cols>
    <col min="1" max="1" width="10.6640625" style="3" hidden="1" customWidth="1"/>
    <col min="2" max="2" width="0.44140625" style="3" customWidth="1"/>
    <col min="3" max="3" width="10.33203125" style="3" customWidth="1"/>
    <col min="4" max="4" width="10.109375" style="13" customWidth="1"/>
    <col min="5" max="5" width="14.44140625" style="3" customWidth="1"/>
    <col min="6" max="6" width="15.44140625" style="3" customWidth="1"/>
    <col min="7" max="7" width="13.44140625" style="3" customWidth="1"/>
    <col min="8" max="8" width="15" style="3" customWidth="1"/>
    <col min="9" max="9" width="14.33203125" style="3" customWidth="1"/>
    <col min="10" max="10" width="15.6640625" style="3" customWidth="1"/>
    <col min="11" max="11" width="14.6640625" style="176" customWidth="1"/>
    <col min="12" max="12" width="1.33203125" style="23" customWidth="1"/>
    <col min="13" max="13" width="10.6640625" style="3" customWidth="1"/>
    <col min="14" max="14" width="12.5546875" style="3" customWidth="1"/>
    <col min="15" max="15" width="13.33203125" style="3" customWidth="1"/>
    <col min="16" max="17" width="11.44140625" style="3"/>
    <col min="18" max="18" width="11.33203125" style="3" customWidth="1"/>
    <col min="19" max="20" width="11.44140625" style="3"/>
    <col min="21" max="21" width="13" style="3" bestFit="1" customWidth="1"/>
    <col min="22" max="16384" width="11.44140625" style="3"/>
  </cols>
  <sheetData>
    <row r="1" spans="1:22" ht="30" customHeight="1" x14ac:dyDescent="0.3">
      <c r="A1" s="3" t="s">
        <v>1</v>
      </c>
      <c r="C1" s="242" t="s">
        <v>13</v>
      </c>
      <c r="D1" s="243"/>
      <c r="E1" s="243"/>
      <c r="F1" s="243"/>
      <c r="G1" s="243"/>
      <c r="H1" s="243"/>
      <c r="I1" s="243"/>
      <c r="J1" s="243"/>
    </row>
    <row r="2" spans="1:22" s="4" customFormat="1" ht="24.75" customHeight="1" x14ac:dyDescent="0.3">
      <c r="B2" s="4">
        <v>3</v>
      </c>
      <c r="C2" s="5"/>
      <c r="D2" s="27" t="s">
        <v>2</v>
      </c>
      <c r="E2" s="6">
        <v>2022</v>
      </c>
      <c r="F2" s="27" t="s">
        <v>12</v>
      </c>
      <c r="G2" s="27"/>
      <c r="H2" s="6">
        <v>7</v>
      </c>
      <c r="I2" s="49" t="s">
        <v>3</v>
      </c>
      <c r="J2" s="6">
        <v>30</v>
      </c>
      <c r="K2" s="176"/>
      <c r="L2" s="23"/>
      <c r="U2" s="3"/>
      <c r="V2" s="3"/>
    </row>
    <row r="3" spans="1:22" s="7" customFormat="1" ht="4.5" customHeight="1" thickBot="1" x14ac:dyDescent="0.35">
      <c r="C3" s="8"/>
      <c r="D3" s="9"/>
      <c r="E3" s="8"/>
      <c r="F3" s="8"/>
      <c r="G3" s="8"/>
      <c r="H3" s="8"/>
      <c r="I3" s="8"/>
      <c r="J3" s="8"/>
      <c r="K3" s="176"/>
      <c r="L3" s="23"/>
      <c r="U3" s="3"/>
      <c r="V3" s="3"/>
    </row>
    <row r="4" spans="1:22" s="94" customFormat="1" ht="17.25" customHeight="1" thickBot="1" x14ac:dyDescent="0.35">
      <c r="C4" s="95" t="s">
        <v>4</v>
      </c>
      <c r="D4" s="95" t="s">
        <v>5</v>
      </c>
      <c r="E4" s="96" t="s">
        <v>78</v>
      </c>
      <c r="F4" s="96" t="s">
        <v>204</v>
      </c>
      <c r="G4" s="96" t="s">
        <v>203</v>
      </c>
      <c r="H4" s="96" t="s">
        <v>202</v>
      </c>
      <c r="I4" s="96" t="s">
        <v>205</v>
      </c>
      <c r="J4" s="96" t="s">
        <v>0</v>
      </c>
      <c r="K4" s="177" t="s">
        <v>209</v>
      </c>
      <c r="L4" s="137"/>
      <c r="M4" s="97"/>
      <c r="N4" s="97"/>
      <c r="O4" s="97"/>
      <c r="P4" s="97"/>
      <c r="Q4" s="97"/>
      <c r="R4" s="97"/>
      <c r="S4" s="97"/>
      <c r="T4" s="97"/>
      <c r="U4" s="98"/>
      <c r="V4" s="97"/>
    </row>
    <row r="5" spans="1:22" ht="13.5" customHeight="1" x14ac:dyDescent="0.3">
      <c r="A5" s="3">
        <v>1</v>
      </c>
      <c r="C5" s="190">
        <f t="shared" ref="C5:C35" si="0">DATE(E$2,$H$2,A5)</f>
        <v>44743</v>
      </c>
      <c r="D5" s="187">
        <f t="shared" ref="D5:D35" si="1">DATE(E$2,H$2,A5)</f>
        <v>44743</v>
      </c>
      <c r="E5" s="184">
        <f>1047200+163000+25400+10000</f>
        <v>1245600</v>
      </c>
      <c r="F5" s="185">
        <f t="shared" ref="F5:F35" si="2">E5</f>
        <v>1245600</v>
      </c>
      <c r="G5" s="191">
        <v>30000</v>
      </c>
      <c r="H5" s="191">
        <f>990+7338+13632</f>
        <v>21960</v>
      </c>
      <c r="I5" s="192">
        <f t="shared" ref="I5:I18" si="3">H5+G5</f>
        <v>51960</v>
      </c>
      <c r="J5" s="193">
        <f t="shared" ref="J5:J36" si="4">F5-I5</f>
        <v>1193640</v>
      </c>
      <c r="L5" s="23">
        <f>IF(WEEKDAY(C5,2)&gt;5,1,0)</f>
        <v>0</v>
      </c>
      <c r="U5" s="25"/>
    </row>
    <row r="6" spans="1:22" ht="12.75" customHeight="1" x14ac:dyDescent="0.3">
      <c r="A6" s="3">
        <v>2</v>
      </c>
      <c r="C6" s="194">
        <f t="shared" si="0"/>
        <v>44744</v>
      </c>
      <c r="D6" s="188">
        <f t="shared" si="1"/>
        <v>44744</v>
      </c>
      <c r="E6" s="186">
        <f>33400+163000</f>
        <v>196400</v>
      </c>
      <c r="F6" s="185">
        <f t="shared" si="2"/>
        <v>196400</v>
      </c>
      <c r="G6" s="191"/>
      <c r="H6" s="191"/>
      <c r="I6" s="192">
        <f t="shared" si="3"/>
        <v>0</v>
      </c>
      <c r="J6" s="193">
        <f t="shared" si="4"/>
        <v>196400</v>
      </c>
      <c r="L6" s="23">
        <f t="shared" ref="L6:L35" si="5">IF(WEEKDAY(C6,2)&gt;5,1,0)</f>
        <v>1</v>
      </c>
      <c r="M6" s="37"/>
      <c r="N6" s="38"/>
      <c r="O6" s="38"/>
      <c r="P6" s="38"/>
      <c r="Q6" s="39"/>
      <c r="R6" s="38"/>
      <c r="S6" s="38"/>
      <c r="T6" s="38"/>
      <c r="U6" s="25"/>
    </row>
    <row r="7" spans="1:22" ht="12.75" customHeight="1" x14ac:dyDescent="0.3">
      <c r="A7" s="3">
        <v>3</v>
      </c>
      <c r="C7" s="194">
        <f t="shared" si="0"/>
        <v>44745</v>
      </c>
      <c r="D7" s="188">
        <f t="shared" si="1"/>
        <v>44745</v>
      </c>
      <c r="E7" s="186">
        <v>64200</v>
      </c>
      <c r="F7" s="185">
        <f t="shared" si="2"/>
        <v>64200</v>
      </c>
      <c r="G7" s="191">
        <v>39990</v>
      </c>
      <c r="H7" s="191">
        <f>27800+12500</f>
        <v>40300</v>
      </c>
      <c r="I7" s="192">
        <f t="shared" si="3"/>
        <v>80290</v>
      </c>
      <c r="J7" s="193">
        <f t="shared" si="4"/>
        <v>-16090</v>
      </c>
      <c r="L7" s="23">
        <f t="shared" si="5"/>
        <v>1</v>
      </c>
      <c r="M7" s="23"/>
      <c r="N7" s="7"/>
      <c r="O7" s="7"/>
      <c r="P7" s="7"/>
      <c r="Q7" s="7"/>
      <c r="R7" s="7"/>
      <c r="S7" s="7"/>
      <c r="T7" s="7"/>
      <c r="U7" s="25"/>
    </row>
    <row r="8" spans="1:22" ht="12.75" customHeight="1" x14ac:dyDescent="0.3">
      <c r="A8" s="3">
        <v>4</v>
      </c>
      <c r="C8" s="194">
        <f t="shared" si="0"/>
        <v>44746</v>
      </c>
      <c r="D8" s="188">
        <f t="shared" si="1"/>
        <v>44746</v>
      </c>
      <c r="E8" s="186">
        <v>163000</v>
      </c>
      <c r="F8" s="185">
        <f t="shared" si="2"/>
        <v>163000</v>
      </c>
      <c r="G8" s="191">
        <v>23000</v>
      </c>
      <c r="H8" s="191"/>
      <c r="I8" s="192">
        <f t="shared" si="3"/>
        <v>23000</v>
      </c>
      <c r="J8" s="193">
        <f t="shared" si="4"/>
        <v>140000</v>
      </c>
      <c r="L8" s="23">
        <f t="shared" si="5"/>
        <v>0</v>
      </c>
      <c r="M8" s="23"/>
      <c r="N8" s="7"/>
      <c r="O8" s="7"/>
      <c r="P8" s="7"/>
      <c r="Q8" s="7"/>
      <c r="R8" s="7"/>
      <c r="S8" s="7"/>
      <c r="T8" s="7"/>
      <c r="U8" s="25"/>
    </row>
    <row r="9" spans="1:22" ht="12.75" customHeight="1" x14ac:dyDescent="0.3">
      <c r="A9" s="3">
        <v>5</v>
      </c>
      <c r="C9" s="194">
        <f t="shared" si="0"/>
        <v>44747</v>
      </c>
      <c r="D9" s="188">
        <f t="shared" si="1"/>
        <v>44747</v>
      </c>
      <c r="E9" s="186"/>
      <c r="F9" s="185">
        <f t="shared" si="2"/>
        <v>0</v>
      </c>
      <c r="G9" s="191">
        <f>398270+420000+8980</f>
        <v>827250</v>
      </c>
      <c r="H9" s="191"/>
      <c r="I9" s="192">
        <f t="shared" si="3"/>
        <v>827250</v>
      </c>
      <c r="J9" s="193">
        <f t="shared" si="4"/>
        <v>-827250</v>
      </c>
      <c r="L9" s="23">
        <f t="shared" si="5"/>
        <v>0</v>
      </c>
      <c r="M9" s="23"/>
      <c r="N9" s="7"/>
      <c r="O9" s="7"/>
      <c r="P9" s="7"/>
      <c r="Q9" s="7"/>
      <c r="R9" s="7"/>
      <c r="S9" s="7"/>
      <c r="T9" s="7"/>
      <c r="U9" s="25"/>
    </row>
    <row r="10" spans="1:22" ht="12.75" customHeight="1" x14ac:dyDescent="0.3">
      <c r="A10" s="3">
        <v>6</v>
      </c>
      <c r="C10" s="194">
        <f t="shared" si="0"/>
        <v>44748</v>
      </c>
      <c r="D10" s="188">
        <f t="shared" si="1"/>
        <v>44748</v>
      </c>
      <c r="E10" s="184"/>
      <c r="F10" s="185">
        <f t="shared" si="2"/>
        <v>0</v>
      </c>
      <c r="G10" s="191">
        <f>23420+16990</f>
        <v>40410</v>
      </c>
      <c r="H10" s="191"/>
      <c r="I10" s="192">
        <f t="shared" si="3"/>
        <v>40410</v>
      </c>
      <c r="J10" s="193">
        <f t="shared" si="4"/>
        <v>-40410</v>
      </c>
      <c r="L10" s="23">
        <f t="shared" si="5"/>
        <v>0</v>
      </c>
      <c r="M10" s="23"/>
      <c r="N10" s="7"/>
      <c r="O10" s="7"/>
      <c r="P10" s="7"/>
      <c r="Q10" s="7"/>
      <c r="R10" s="7"/>
      <c r="S10" s="7"/>
      <c r="T10" s="7"/>
      <c r="U10" s="25"/>
    </row>
    <row r="11" spans="1:22" ht="13.5" customHeight="1" x14ac:dyDescent="0.3">
      <c r="A11" s="3">
        <v>7</v>
      </c>
      <c r="C11" s="194">
        <f t="shared" si="0"/>
        <v>44749</v>
      </c>
      <c r="D11" s="188">
        <f t="shared" si="1"/>
        <v>44749</v>
      </c>
      <c r="E11" s="186">
        <v>32000</v>
      </c>
      <c r="F11" s="185">
        <f t="shared" si="2"/>
        <v>32000</v>
      </c>
      <c r="G11" s="191">
        <v>214200</v>
      </c>
      <c r="H11" s="191">
        <f>5732+15159+10600+12980</f>
        <v>44471</v>
      </c>
      <c r="I11" s="192">
        <f t="shared" si="3"/>
        <v>258671</v>
      </c>
      <c r="J11" s="193">
        <f t="shared" si="4"/>
        <v>-226671</v>
      </c>
      <c r="L11" s="23">
        <f t="shared" si="5"/>
        <v>0</v>
      </c>
      <c r="M11" s="23"/>
      <c r="N11" s="7"/>
      <c r="O11" s="7"/>
      <c r="P11" s="7"/>
      <c r="Q11" s="7"/>
      <c r="R11" s="7"/>
      <c r="S11" s="7"/>
      <c r="T11" s="7"/>
      <c r="U11" s="25"/>
    </row>
    <row r="12" spans="1:22" ht="12.75" customHeight="1" x14ac:dyDescent="0.3">
      <c r="A12" s="3">
        <v>8</v>
      </c>
      <c r="C12" s="194">
        <f t="shared" si="0"/>
        <v>44750</v>
      </c>
      <c r="D12" s="188">
        <f t="shared" si="1"/>
        <v>44750</v>
      </c>
      <c r="E12" s="186">
        <v>49600</v>
      </c>
      <c r="F12" s="185">
        <f t="shared" si="2"/>
        <v>49600</v>
      </c>
      <c r="G12" s="191">
        <f>12000+20000</f>
        <v>32000</v>
      </c>
      <c r="H12" s="191">
        <f>3100+12980+31332+3000+35763</f>
        <v>86175</v>
      </c>
      <c r="I12" s="192">
        <f t="shared" si="3"/>
        <v>118175</v>
      </c>
      <c r="J12" s="193">
        <f t="shared" si="4"/>
        <v>-68575</v>
      </c>
      <c r="L12" s="23">
        <f t="shared" si="5"/>
        <v>0</v>
      </c>
      <c r="M12" s="23"/>
      <c r="N12" s="7"/>
      <c r="O12" s="7"/>
      <c r="P12" s="7"/>
      <c r="Q12" s="7"/>
      <c r="R12" s="7"/>
      <c r="S12" s="7"/>
      <c r="T12" s="7"/>
      <c r="U12" s="25"/>
    </row>
    <row r="13" spans="1:22" ht="12.75" customHeight="1" x14ac:dyDescent="0.3">
      <c r="A13" s="3">
        <v>9</v>
      </c>
      <c r="C13" s="194">
        <f t="shared" si="0"/>
        <v>44751</v>
      </c>
      <c r="D13" s="188">
        <f t="shared" si="1"/>
        <v>44751</v>
      </c>
      <c r="E13" s="186">
        <f>8040+85840+151243+6700</f>
        <v>251823</v>
      </c>
      <c r="F13" s="185">
        <f t="shared" si="2"/>
        <v>251823</v>
      </c>
      <c r="G13" s="191">
        <v>450000</v>
      </c>
      <c r="H13" s="191">
        <v>22260</v>
      </c>
      <c r="I13" s="192">
        <f t="shared" si="3"/>
        <v>472260</v>
      </c>
      <c r="J13" s="193">
        <f t="shared" si="4"/>
        <v>-220437</v>
      </c>
      <c r="K13" s="176" t="s">
        <v>381</v>
      </c>
      <c r="L13" s="23">
        <f t="shared" si="5"/>
        <v>1</v>
      </c>
      <c r="M13" s="23"/>
      <c r="N13" s="7"/>
      <c r="O13" s="7"/>
      <c r="P13" s="7"/>
      <c r="Q13" s="7"/>
      <c r="R13" s="7"/>
      <c r="S13" s="7"/>
      <c r="T13" s="7"/>
      <c r="U13" s="25"/>
    </row>
    <row r="14" spans="1:22" ht="12.75" customHeight="1" x14ac:dyDescent="0.3">
      <c r="A14" s="3">
        <v>10</v>
      </c>
      <c r="C14" s="194">
        <f t="shared" si="0"/>
        <v>44752</v>
      </c>
      <c r="D14" s="188">
        <f t="shared" si="1"/>
        <v>44752</v>
      </c>
      <c r="E14" s="186">
        <f>61200+23400</f>
        <v>84600</v>
      </c>
      <c r="F14" s="185">
        <f t="shared" si="2"/>
        <v>84600</v>
      </c>
      <c r="G14" s="191"/>
      <c r="H14" s="191">
        <f>20768+14150+39950+41090</f>
        <v>115958</v>
      </c>
      <c r="I14" s="192">
        <f t="shared" si="3"/>
        <v>115958</v>
      </c>
      <c r="J14" s="193">
        <f t="shared" si="4"/>
        <v>-31358</v>
      </c>
      <c r="L14" s="23">
        <f t="shared" si="5"/>
        <v>1</v>
      </c>
      <c r="M14" s="23"/>
      <c r="N14" s="7"/>
      <c r="O14" s="7"/>
      <c r="P14" s="7"/>
      <c r="Q14" s="7"/>
      <c r="R14" s="7"/>
      <c r="S14" s="7"/>
      <c r="T14" s="7"/>
      <c r="U14" s="25"/>
    </row>
    <row r="15" spans="1:22" x14ac:dyDescent="0.3">
      <c r="A15" s="3">
        <v>11</v>
      </c>
      <c r="C15" s="194">
        <f t="shared" si="0"/>
        <v>44753</v>
      </c>
      <c r="D15" s="188">
        <f t="shared" si="1"/>
        <v>44753</v>
      </c>
      <c r="E15" s="186">
        <f>20000+37000</f>
        <v>57000</v>
      </c>
      <c r="F15" s="185">
        <f t="shared" si="2"/>
        <v>57000</v>
      </c>
      <c r="G15" s="191">
        <v>10000</v>
      </c>
      <c r="H15" s="191">
        <v>15133</v>
      </c>
      <c r="I15" s="192">
        <f t="shared" si="3"/>
        <v>25133</v>
      </c>
      <c r="J15" s="193">
        <f t="shared" si="4"/>
        <v>31867</v>
      </c>
      <c r="L15" s="23">
        <f t="shared" si="5"/>
        <v>0</v>
      </c>
      <c r="M15" s="23"/>
      <c r="N15" s="7"/>
      <c r="O15" s="7"/>
      <c r="P15" s="7"/>
      <c r="Q15" s="7"/>
      <c r="R15" s="7"/>
      <c r="S15" s="7"/>
      <c r="T15" s="7"/>
      <c r="U15" s="25"/>
    </row>
    <row r="16" spans="1:22" x14ac:dyDescent="0.3">
      <c r="A16" s="3">
        <v>12</v>
      </c>
      <c r="C16" s="194">
        <f t="shared" si="0"/>
        <v>44754</v>
      </c>
      <c r="D16" s="188">
        <f t="shared" si="1"/>
        <v>44754</v>
      </c>
      <c r="E16" s="186">
        <f>41600+21640</f>
        <v>63240</v>
      </c>
      <c r="F16" s="185">
        <f t="shared" si="2"/>
        <v>63240</v>
      </c>
      <c r="G16" s="191"/>
      <c r="H16" s="191"/>
      <c r="I16" s="192">
        <f t="shared" si="3"/>
        <v>0</v>
      </c>
      <c r="J16" s="193">
        <f t="shared" si="4"/>
        <v>63240</v>
      </c>
      <c r="L16" s="23">
        <f t="shared" si="5"/>
        <v>0</v>
      </c>
      <c r="M16" s="23"/>
      <c r="N16" s="7"/>
      <c r="O16" s="7"/>
      <c r="P16" s="7"/>
      <c r="Q16" s="7"/>
      <c r="R16" s="7"/>
      <c r="S16" s="7"/>
      <c r="T16" s="7"/>
      <c r="U16" s="25"/>
    </row>
    <row r="17" spans="1:22" x14ac:dyDescent="0.3">
      <c r="A17" s="3">
        <v>13</v>
      </c>
      <c r="C17" s="194">
        <f t="shared" si="0"/>
        <v>44755</v>
      </c>
      <c r="D17" s="188">
        <f t="shared" si="1"/>
        <v>44755</v>
      </c>
      <c r="E17" s="186">
        <v>32700</v>
      </c>
      <c r="F17" s="185">
        <f t="shared" si="2"/>
        <v>32700</v>
      </c>
      <c r="G17" s="191"/>
      <c r="H17" s="191"/>
      <c r="I17" s="192">
        <f t="shared" si="3"/>
        <v>0</v>
      </c>
      <c r="J17" s="193">
        <f t="shared" si="4"/>
        <v>32700</v>
      </c>
      <c r="L17" s="23">
        <f t="shared" si="5"/>
        <v>0</v>
      </c>
      <c r="M17" s="23"/>
      <c r="N17" s="7"/>
      <c r="O17" s="7"/>
      <c r="P17" s="7"/>
      <c r="Q17" s="7"/>
      <c r="R17" s="7"/>
      <c r="S17" s="7"/>
      <c r="T17" s="7"/>
      <c r="U17" s="25"/>
      <c r="V17" s="7"/>
    </row>
    <row r="18" spans="1:22" x14ac:dyDescent="0.3">
      <c r="A18" s="3">
        <v>14</v>
      </c>
      <c r="C18" s="194">
        <f t="shared" si="0"/>
        <v>44756</v>
      </c>
      <c r="D18" s="188">
        <f t="shared" si="1"/>
        <v>44756</v>
      </c>
      <c r="E18" s="186">
        <v>51240</v>
      </c>
      <c r="F18" s="185">
        <f t="shared" si="2"/>
        <v>51240</v>
      </c>
      <c r="G18" s="191"/>
      <c r="H18" s="191"/>
      <c r="I18" s="192">
        <f t="shared" si="3"/>
        <v>0</v>
      </c>
      <c r="J18" s="193">
        <f t="shared" si="4"/>
        <v>51240</v>
      </c>
      <c r="L18" s="23">
        <f t="shared" si="5"/>
        <v>0</v>
      </c>
      <c r="M18" s="23"/>
      <c r="N18" s="7"/>
      <c r="O18" s="7"/>
      <c r="P18" s="7"/>
      <c r="Q18" s="7"/>
      <c r="R18" s="7"/>
      <c r="S18" s="7"/>
      <c r="T18" s="7"/>
      <c r="U18" s="25"/>
      <c r="V18" s="7"/>
    </row>
    <row r="19" spans="1:22" x14ac:dyDescent="0.3">
      <c r="A19" s="3">
        <v>15</v>
      </c>
      <c r="C19" s="194">
        <f t="shared" si="0"/>
        <v>44757</v>
      </c>
      <c r="D19" s="188">
        <f t="shared" si="1"/>
        <v>44757</v>
      </c>
      <c r="E19" s="186">
        <v>144600</v>
      </c>
      <c r="F19" s="185">
        <f t="shared" si="2"/>
        <v>144600</v>
      </c>
      <c r="G19" s="191"/>
      <c r="H19" s="191">
        <f>29900+10000</f>
        <v>39900</v>
      </c>
      <c r="I19" s="192">
        <f t="shared" ref="I19:I35" si="6">H19+G19</f>
        <v>39900</v>
      </c>
      <c r="J19" s="193">
        <f t="shared" si="4"/>
        <v>104700</v>
      </c>
      <c r="L19" s="23">
        <f t="shared" si="5"/>
        <v>0</v>
      </c>
      <c r="M19" s="23"/>
      <c r="N19" s="7"/>
      <c r="O19" s="7"/>
      <c r="P19" s="7"/>
      <c r="Q19" s="7"/>
      <c r="R19" s="7"/>
      <c r="S19" s="7"/>
      <c r="T19" s="7"/>
      <c r="U19" s="25"/>
      <c r="V19" s="7"/>
    </row>
    <row r="20" spans="1:22" s="56" customFormat="1" ht="15" customHeight="1" x14ac:dyDescent="0.2">
      <c r="A20" s="56">
        <v>16</v>
      </c>
      <c r="B20" s="57" t="s">
        <v>10</v>
      </c>
      <c r="C20" s="195">
        <f t="shared" si="0"/>
        <v>44758</v>
      </c>
      <c r="D20" s="189">
        <f t="shared" si="1"/>
        <v>44758</v>
      </c>
      <c r="E20" s="186">
        <v>140690</v>
      </c>
      <c r="F20" s="185">
        <f t="shared" si="2"/>
        <v>140690</v>
      </c>
      <c r="G20" s="191"/>
      <c r="H20" s="191"/>
      <c r="I20" s="192">
        <f t="shared" si="6"/>
        <v>0</v>
      </c>
      <c r="J20" s="193">
        <f t="shared" si="4"/>
        <v>140690</v>
      </c>
      <c r="K20" s="176"/>
      <c r="L20" s="23">
        <f t="shared" si="5"/>
        <v>1</v>
      </c>
      <c r="M20" s="23"/>
      <c r="N20" s="23"/>
      <c r="O20" s="23"/>
      <c r="P20" s="23"/>
      <c r="Q20" s="23"/>
      <c r="R20" s="23"/>
      <c r="S20" s="23"/>
      <c r="T20" s="23"/>
      <c r="U20" s="58"/>
      <c r="V20" s="23"/>
    </row>
    <row r="21" spans="1:22" x14ac:dyDescent="0.3">
      <c r="A21" s="3">
        <v>17</v>
      </c>
      <c r="C21" s="194">
        <f t="shared" si="0"/>
        <v>44759</v>
      </c>
      <c r="D21" s="188">
        <f t="shared" si="1"/>
        <v>44759</v>
      </c>
      <c r="E21" s="186">
        <v>45800</v>
      </c>
      <c r="F21" s="185">
        <f t="shared" si="2"/>
        <v>45800</v>
      </c>
      <c r="G21" s="191"/>
      <c r="H21" s="191">
        <f>13100+3200</f>
        <v>16300</v>
      </c>
      <c r="I21" s="192">
        <f t="shared" si="6"/>
        <v>16300</v>
      </c>
      <c r="J21" s="193">
        <f t="shared" si="4"/>
        <v>29500</v>
      </c>
      <c r="L21" s="23">
        <f t="shared" si="5"/>
        <v>1</v>
      </c>
      <c r="M21" s="23"/>
      <c r="N21" s="7"/>
      <c r="O21" s="7"/>
      <c r="P21" s="7"/>
      <c r="Q21" s="7"/>
      <c r="R21" s="7"/>
      <c r="S21" s="7"/>
      <c r="T21" s="7"/>
      <c r="U21" s="25"/>
      <c r="V21" s="7"/>
    </row>
    <row r="22" spans="1:22" x14ac:dyDescent="0.3">
      <c r="A22" s="3">
        <v>18</v>
      </c>
      <c r="C22" s="194">
        <f t="shared" si="0"/>
        <v>44760</v>
      </c>
      <c r="D22" s="188">
        <f t="shared" si="1"/>
        <v>44760</v>
      </c>
      <c r="E22" s="186"/>
      <c r="F22" s="185">
        <f t="shared" si="2"/>
        <v>0</v>
      </c>
      <c r="G22" s="191"/>
      <c r="H22" s="191"/>
      <c r="I22" s="192">
        <f t="shared" si="6"/>
        <v>0</v>
      </c>
      <c r="J22" s="193">
        <f t="shared" si="4"/>
        <v>0</v>
      </c>
      <c r="L22" s="23">
        <f t="shared" si="5"/>
        <v>0</v>
      </c>
      <c r="M22" s="23"/>
      <c r="N22" s="7"/>
      <c r="O22" s="7"/>
      <c r="P22" s="7"/>
      <c r="Q22" s="7"/>
      <c r="R22" s="7"/>
      <c r="S22" s="7"/>
      <c r="T22" s="7"/>
      <c r="U22" s="25"/>
      <c r="V22" s="7"/>
    </row>
    <row r="23" spans="1:22" x14ac:dyDescent="0.3">
      <c r="A23" s="3">
        <v>19</v>
      </c>
      <c r="C23" s="194">
        <f t="shared" si="0"/>
        <v>44761</v>
      </c>
      <c r="D23" s="188">
        <f t="shared" si="1"/>
        <v>44761</v>
      </c>
      <c r="E23" s="186">
        <v>170100</v>
      </c>
      <c r="F23" s="185">
        <f t="shared" si="2"/>
        <v>170100</v>
      </c>
      <c r="G23" s="191"/>
      <c r="H23" s="191"/>
      <c r="I23" s="192">
        <f t="shared" si="6"/>
        <v>0</v>
      </c>
      <c r="J23" s="193">
        <f t="shared" si="4"/>
        <v>170100</v>
      </c>
      <c r="L23" s="23">
        <f t="shared" si="5"/>
        <v>0</v>
      </c>
      <c r="M23" s="23"/>
      <c r="N23" s="11"/>
      <c r="O23" s="11"/>
      <c r="P23" s="11"/>
      <c r="Q23" s="11"/>
      <c r="R23" s="11"/>
      <c r="S23" s="11"/>
      <c r="T23" s="11"/>
      <c r="U23" s="26"/>
      <c r="V23" s="7"/>
    </row>
    <row r="24" spans="1:22" x14ac:dyDescent="0.3">
      <c r="A24" s="3">
        <v>20</v>
      </c>
      <c r="C24" s="194">
        <f t="shared" si="0"/>
        <v>44762</v>
      </c>
      <c r="D24" s="188">
        <f t="shared" si="1"/>
        <v>44762</v>
      </c>
      <c r="E24" s="186">
        <v>82250</v>
      </c>
      <c r="F24" s="185">
        <f t="shared" si="2"/>
        <v>82250</v>
      </c>
      <c r="G24" s="191"/>
      <c r="H24" s="191">
        <f>18080+3500</f>
        <v>21580</v>
      </c>
      <c r="I24" s="192">
        <f t="shared" si="6"/>
        <v>21580</v>
      </c>
      <c r="J24" s="193">
        <f t="shared" si="4"/>
        <v>60670</v>
      </c>
      <c r="L24" s="23">
        <f t="shared" si="5"/>
        <v>0</v>
      </c>
      <c r="M24" s="23"/>
      <c r="N24" s="7"/>
      <c r="O24" s="7"/>
      <c r="P24" s="7"/>
      <c r="Q24" s="7"/>
      <c r="R24" s="7"/>
      <c r="S24" s="7"/>
      <c r="T24" s="7"/>
      <c r="U24" s="25"/>
      <c r="V24" s="7"/>
    </row>
    <row r="25" spans="1:22" x14ac:dyDescent="0.3">
      <c r="A25" s="3">
        <v>21</v>
      </c>
      <c r="C25" s="194">
        <f t="shared" si="0"/>
        <v>44763</v>
      </c>
      <c r="D25" s="188">
        <f t="shared" si="1"/>
        <v>44763</v>
      </c>
      <c r="E25" s="186"/>
      <c r="F25" s="185">
        <f t="shared" si="2"/>
        <v>0</v>
      </c>
      <c r="G25" s="191">
        <v>22500</v>
      </c>
      <c r="H25" s="191">
        <v>19487</v>
      </c>
      <c r="I25" s="192">
        <f t="shared" si="6"/>
        <v>41987</v>
      </c>
      <c r="J25" s="193">
        <f t="shared" si="4"/>
        <v>-41987</v>
      </c>
      <c r="K25" s="176" t="s">
        <v>191</v>
      </c>
      <c r="L25" s="23">
        <f t="shared" si="5"/>
        <v>0</v>
      </c>
      <c r="M25" s="23"/>
      <c r="N25" s="7"/>
      <c r="O25" s="7"/>
      <c r="P25" s="7"/>
      <c r="Q25" s="7"/>
      <c r="R25" s="7"/>
      <c r="S25" s="7"/>
      <c r="T25" s="7"/>
      <c r="U25" s="25"/>
      <c r="V25" s="7"/>
    </row>
    <row r="26" spans="1:22" x14ac:dyDescent="0.3">
      <c r="A26" s="3">
        <v>22</v>
      </c>
      <c r="C26" s="194">
        <f t="shared" si="0"/>
        <v>44764</v>
      </c>
      <c r="D26" s="188">
        <f t="shared" si="1"/>
        <v>44764</v>
      </c>
      <c r="E26" s="186">
        <v>34200</v>
      </c>
      <c r="F26" s="185">
        <f t="shared" si="2"/>
        <v>34200</v>
      </c>
      <c r="G26" s="191">
        <f>20000+36676+10350</f>
        <v>67026</v>
      </c>
      <c r="H26" s="191">
        <f>58068+39950+3976</f>
        <v>101994</v>
      </c>
      <c r="I26" s="192">
        <f t="shared" si="6"/>
        <v>169020</v>
      </c>
      <c r="J26" s="193">
        <f t="shared" si="4"/>
        <v>-134820</v>
      </c>
      <c r="L26" s="23">
        <f t="shared" si="5"/>
        <v>0</v>
      </c>
      <c r="M26" s="23"/>
      <c r="N26" s="7"/>
      <c r="O26" s="7"/>
      <c r="P26" s="7"/>
      <c r="Q26" s="7"/>
      <c r="R26" s="7"/>
      <c r="S26" s="7"/>
      <c r="T26" s="7"/>
      <c r="U26" s="25"/>
      <c r="V26" s="7"/>
    </row>
    <row r="27" spans="1:22" x14ac:dyDescent="0.3">
      <c r="A27" s="3">
        <v>23</v>
      </c>
      <c r="C27" s="194">
        <f t="shared" si="0"/>
        <v>44765</v>
      </c>
      <c r="D27" s="188">
        <f t="shared" si="1"/>
        <v>44765</v>
      </c>
      <c r="E27" s="186"/>
      <c r="F27" s="185">
        <f t="shared" si="2"/>
        <v>0</v>
      </c>
      <c r="G27" s="191"/>
      <c r="H27" s="191">
        <f>78177+60421</f>
        <v>138598</v>
      </c>
      <c r="I27" s="192">
        <f t="shared" si="6"/>
        <v>138598</v>
      </c>
      <c r="J27" s="193">
        <f t="shared" si="4"/>
        <v>-138598</v>
      </c>
      <c r="L27" s="23">
        <f t="shared" si="5"/>
        <v>1</v>
      </c>
      <c r="M27" s="23"/>
      <c r="N27" s="7"/>
      <c r="O27" s="7"/>
      <c r="P27" s="7"/>
      <c r="Q27" s="7"/>
      <c r="R27" s="7"/>
      <c r="S27" s="7"/>
      <c r="T27" s="7"/>
      <c r="U27" s="25"/>
      <c r="V27" s="7"/>
    </row>
    <row r="28" spans="1:22" x14ac:dyDescent="0.3">
      <c r="A28" s="3">
        <v>24</v>
      </c>
      <c r="C28" s="194">
        <f t="shared" si="0"/>
        <v>44766</v>
      </c>
      <c r="D28" s="188">
        <f t="shared" si="1"/>
        <v>44766</v>
      </c>
      <c r="E28" s="186">
        <v>45000</v>
      </c>
      <c r="F28" s="185">
        <f t="shared" si="2"/>
        <v>45000</v>
      </c>
      <c r="G28" s="191"/>
      <c r="H28" s="191">
        <f>7903+73851</f>
        <v>81754</v>
      </c>
      <c r="I28" s="192">
        <f t="shared" si="6"/>
        <v>81754</v>
      </c>
      <c r="J28" s="193">
        <f t="shared" si="4"/>
        <v>-36754</v>
      </c>
      <c r="L28" s="23">
        <f t="shared" si="5"/>
        <v>1</v>
      </c>
      <c r="M28" s="23"/>
      <c r="N28" s="7"/>
      <c r="O28" s="7"/>
      <c r="P28" s="7"/>
      <c r="Q28" s="7"/>
      <c r="R28" s="7"/>
      <c r="S28" s="7"/>
      <c r="T28" s="7"/>
      <c r="U28" s="25"/>
      <c r="V28" s="7"/>
    </row>
    <row r="29" spans="1:22" x14ac:dyDescent="0.3">
      <c r="A29" s="3">
        <v>25</v>
      </c>
      <c r="C29" s="194">
        <f t="shared" si="0"/>
        <v>44767</v>
      </c>
      <c r="D29" s="188">
        <f t="shared" si="1"/>
        <v>44767</v>
      </c>
      <c r="E29" s="186">
        <f>46840+35000+1449420</f>
        <v>1531260</v>
      </c>
      <c r="F29" s="185">
        <f t="shared" si="2"/>
        <v>1531260</v>
      </c>
      <c r="G29" s="191"/>
      <c r="H29" s="191">
        <f>94065+37411+13316</f>
        <v>144792</v>
      </c>
      <c r="I29" s="192">
        <f t="shared" si="6"/>
        <v>144792</v>
      </c>
      <c r="J29" s="193">
        <f t="shared" si="4"/>
        <v>1386468</v>
      </c>
      <c r="L29" s="23">
        <f t="shared" si="5"/>
        <v>0</v>
      </c>
      <c r="M29" s="23"/>
      <c r="N29" s="7"/>
      <c r="O29" s="7"/>
      <c r="P29" s="7"/>
      <c r="Q29" s="7"/>
      <c r="R29" s="7"/>
      <c r="S29" s="7"/>
      <c r="T29" s="7"/>
      <c r="U29" s="25"/>
      <c r="V29" s="7"/>
    </row>
    <row r="30" spans="1:22" x14ac:dyDescent="0.3">
      <c r="A30" s="3">
        <v>26</v>
      </c>
      <c r="C30" s="194">
        <f t="shared" si="0"/>
        <v>44768</v>
      </c>
      <c r="D30" s="188">
        <f t="shared" si="1"/>
        <v>44768</v>
      </c>
      <c r="E30" s="186">
        <v>857000</v>
      </c>
      <c r="F30" s="185">
        <f t="shared" si="2"/>
        <v>857000</v>
      </c>
      <c r="G30" s="191">
        <v>10000</v>
      </c>
      <c r="H30" s="191">
        <f>4182+26147+4249+2590+12861</f>
        <v>50029</v>
      </c>
      <c r="I30" s="192">
        <f t="shared" si="6"/>
        <v>60029</v>
      </c>
      <c r="J30" s="193">
        <f t="shared" si="4"/>
        <v>796971</v>
      </c>
      <c r="L30" s="23">
        <f t="shared" si="5"/>
        <v>0</v>
      </c>
      <c r="M30" s="23"/>
      <c r="N30" s="7"/>
      <c r="O30" s="7"/>
      <c r="P30" s="7"/>
      <c r="Q30" s="7"/>
      <c r="R30" s="7"/>
      <c r="S30" s="7"/>
      <c r="T30" s="7"/>
      <c r="U30" s="25"/>
      <c r="V30" s="7"/>
    </row>
    <row r="31" spans="1:22" x14ac:dyDescent="0.3">
      <c r="A31" s="3">
        <v>27</v>
      </c>
      <c r="C31" s="194">
        <f t="shared" si="0"/>
        <v>44769</v>
      </c>
      <c r="D31" s="188">
        <f t="shared" si="1"/>
        <v>44769</v>
      </c>
      <c r="E31" s="186"/>
      <c r="F31" s="185">
        <f t="shared" si="2"/>
        <v>0</v>
      </c>
      <c r="G31" s="191">
        <v>52513</v>
      </c>
      <c r="H31" s="191">
        <v>53839</v>
      </c>
      <c r="I31" s="192">
        <f t="shared" si="6"/>
        <v>106352</v>
      </c>
      <c r="J31" s="193">
        <f t="shared" si="4"/>
        <v>-106352</v>
      </c>
      <c r="L31" s="23">
        <f t="shared" si="5"/>
        <v>0</v>
      </c>
      <c r="M31" s="23"/>
      <c r="N31" s="7"/>
      <c r="O31" s="7"/>
      <c r="P31" s="7"/>
      <c r="Q31" s="7"/>
      <c r="R31" s="7"/>
      <c r="S31" s="7"/>
      <c r="T31" s="7"/>
      <c r="U31" s="25"/>
      <c r="V31" s="7"/>
    </row>
    <row r="32" spans="1:22" x14ac:dyDescent="0.3">
      <c r="A32" s="3">
        <v>28</v>
      </c>
      <c r="C32" s="194">
        <f t="shared" si="0"/>
        <v>44770</v>
      </c>
      <c r="D32" s="188">
        <f t="shared" si="1"/>
        <v>44770</v>
      </c>
      <c r="E32" s="186"/>
      <c r="F32" s="185">
        <f t="shared" si="2"/>
        <v>0</v>
      </c>
      <c r="G32" s="191"/>
      <c r="H32" s="191">
        <f>18780+19048</f>
        <v>37828</v>
      </c>
      <c r="I32" s="192">
        <f t="shared" si="6"/>
        <v>37828</v>
      </c>
      <c r="J32" s="193">
        <f t="shared" si="4"/>
        <v>-37828</v>
      </c>
      <c r="L32" s="23">
        <f t="shared" si="5"/>
        <v>0</v>
      </c>
      <c r="M32" s="23"/>
      <c r="N32" s="202"/>
      <c r="O32" s="7"/>
      <c r="P32" s="7"/>
      <c r="Q32" s="7"/>
      <c r="R32" s="7"/>
      <c r="S32" s="7"/>
      <c r="T32" s="7"/>
      <c r="U32" s="25"/>
      <c r="V32" s="7"/>
    </row>
    <row r="33" spans="1:23" x14ac:dyDescent="0.3">
      <c r="A33" s="3">
        <v>29</v>
      </c>
      <c r="C33" s="194">
        <f t="shared" si="0"/>
        <v>44771</v>
      </c>
      <c r="D33" s="188">
        <f t="shared" si="1"/>
        <v>44771</v>
      </c>
      <c r="E33" s="186"/>
      <c r="F33" s="185">
        <f t="shared" si="2"/>
        <v>0</v>
      </c>
      <c r="G33" s="191"/>
      <c r="H33" s="191"/>
      <c r="I33" s="192">
        <f t="shared" si="6"/>
        <v>0</v>
      </c>
      <c r="J33" s="193">
        <f t="shared" si="4"/>
        <v>0</v>
      </c>
      <c r="L33" s="23">
        <f t="shared" si="5"/>
        <v>0</v>
      </c>
      <c r="M33" s="23"/>
      <c r="N33" s="202"/>
      <c r="O33" s="7"/>
      <c r="P33" s="7"/>
      <c r="Q33" s="7"/>
      <c r="R33" s="7"/>
      <c r="S33" s="7"/>
      <c r="T33" s="7"/>
      <c r="U33" s="25"/>
      <c r="V33" s="7"/>
    </row>
    <row r="34" spans="1:23" x14ac:dyDescent="0.3">
      <c r="A34" s="3">
        <v>30</v>
      </c>
      <c r="C34" s="194">
        <f t="shared" si="0"/>
        <v>44772</v>
      </c>
      <c r="D34" s="188">
        <f t="shared" si="1"/>
        <v>44772</v>
      </c>
      <c r="E34" s="186"/>
      <c r="F34" s="185">
        <f t="shared" si="2"/>
        <v>0</v>
      </c>
      <c r="G34" s="191"/>
      <c r="H34" s="191"/>
      <c r="I34" s="192">
        <f t="shared" si="6"/>
        <v>0</v>
      </c>
      <c r="J34" s="193">
        <f t="shared" si="4"/>
        <v>0</v>
      </c>
      <c r="L34" s="23">
        <f t="shared" si="5"/>
        <v>1</v>
      </c>
      <c r="M34" s="23"/>
      <c r="N34" s="203"/>
      <c r="O34" s="11"/>
      <c r="P34" s="160"/>
      <c r="Q34" s="11"/>
      <c r="R34" s="11"/>
      <c r="S34" s="11"/>
      <c r="T34" s="11"/>
      <c r="U34" s="26"/>
      <c r="V34" s="7"/>
    </row>
    <row r="35" spans="1:23" x14ac:dyDescent="0.3">
      <c r="A35" s="3">
        <v>31</v>
      </c>
      <c r="B35" s="3">
        <v>75</v>
      </c>
      <c r="C35" s="194">
        <f t="shared" si="0"/>
        <v>44773</v>
      </c>
      <c r="D35" s="188">
        <f t="shared" si="1"/>
        <v>44773</v>
      </c>
      <c r="E35" s="186"/>
      <c r="F35" s="185">
        <f t="shared" si="2"/>
        <v>0</v>
      </c>
      <c r="G35" s="191"/>
      <c r="H35" s="191"/>
      <c r="I35" s="192">
        <f t="shared" si="6"/>
        <v>0</v>
      </c>
      <c r="J35" s="193">
        <f t="shared" si="4"/>
        <v>0</v>
      </c>
      <c r="L35" s="23">
        <f t="shared" si="5"/>
        <v>1</v>
      </c>
      <c r="M35" s="23"/>
      <c r="N35" s="202"/>
      <c r="O35" s="165"/>
      <c r="P35" s="169"/>
      <c r="Q35" s="235"/>
      <c r="R35" s="174"/>
      <c r="T35" s="23"/>
      <c r="U35" s="23"/>
      <c r="V35" s="7"/>
      <c r="W35" s="7"/>
    </row>
    <row r="36" spans="1:23" s="12" customFormat="1" ht="16.5" customHeight="1" thickBot="1" x14ac:dyDescent="0.35">
      <c r="C36" s="244" t="s">
        <v>11</v>
      </c>
      <c r="D36" s="245"/>
      <c r="E36" s="181">
        <f>SUM(E5:E35)</f>
        <v>5342303</v>
      </c>
      <c r="F36" s="181">
        <f>SUM(F5:F35)</f>
        <v>5342303</v>
      </c>
      <c r="G36" s="181">
        <f>SUM(G5:G35)</f>
        <v>1818889</v>
      </c>
      <c r="H36" s="181">
        <f>SUM(H5:H35)</f>
        <v>1052358</v>
      </c>
      <c r="I36" s="182">
        <f>G36+H36</f>
        <v>2871247</v>
      </c>
      <c r="J36" s="183">
        <f t="shared" si="4"/>
        <v>2471056</v>
      </c>
      <c r="L36" s="47"/>
      <c r="N36" s="204"/>
      <c r="O36" s="166"/>
      <c r="P36" s="170"/>
      <c r="Q36" s="91"/>
      <c r="R36" s="174"/>
      <c r="S36" s="101"/>
      <c r="T36" s="101"/>
      <c r="V36" s="11"/>
    </row>
    <row r="37" spans="1:23" ht="17.399999999999999" x14ac:dyDescent="0.3">
      <c r="E37" s="14"/>
      <c r="F37" s="15"/>
      <c r="G37" s="15"/>
      <c r="H37" s="16"/>
      <c r="I37" s="17"/>
      <c r="J37" s="18"/>
      <c r="K37" s="179"/>
      <c r="L37" s="48"/>
      <c r="M37" s="19"/>
      <c r="N37" s="200"/>
      <c r="O37" s="168"/>
      <c r="P37" s="171"/>
      <c r="Q37" s="92"/>
      <c r="R37" s="92"/>
      <c r="S37" s="92"/>
      <c r="T37" s="23"/>
      <c r="U37" s="7"/>
      <c r="V37" s="7"/>
    </row>
    <row r="38" spans="1:23" ht="17.399999999999999" x14ac:dyDescent="0.3">
      <c r="E38" s="10"/>
      <c r="F38" s="20"/>
      <c r="G38" s="20"/>
      <c r="H38" s="21"/>
      <c r="I38" s="10"/>
      <c r="J38" s="22"/>
      <c r="M38" s="23"/>
      <c r="N38" s="201"/>
      <c r="O38" s="168"/>
      <c r="P38" s="171"/>
      <c r="Q38" s="92"/>
      <c r="R38" s="92"/>
      <c r="S38" s="92"/>
      <c r="T38" s="90"/>
      <c r="U38" s="7"/>
      <c r="V38" s="7"/>
    </row>
    <row r="39" spans="1:23" ht="17.399999999999999" x14ac:dyDescent="0.3">
      <c r="F39" s="22"/>
      <c r="G39" s="23"/>
      <c r="H39" s="24"/>
      <c r="J39" s="10"/>
      <c r="M39" s="23"/>
      <c r="N39" s="167"/>
      <c r="O39" s="168"/>
      <c r="P39" s="171"/>
      <c r="Q39" s="92"/>
      <c r="R39" s="92"/>
      <c r="S39" s="92"/>
      <c r="T39" s="23"/>
      <c r="U39" s="7"/>
      <c r="V39" s="7"/>
    </row>
    <row r="40" spans="1:23" x14ac:dyDescent="0.3">
      <c r="M40" s="23"/>
      <c r="N40" s="167"/>
      <c r="O40" s="168"/>
      <c r="P40" s="172"/>
      <c r="Q40" s="163"/>
      <c r="R40" s="163"/>
      <c r="S40" s="163"/>
      <c r="T40" s="163"/>
      <c r="U40" s="7"/>
      <c r="V40" s="7"/>
    </row>
    <row r="41" spans="1:23" x14ac:dyDescent="0.3">
      <c r="C41" s="145"/>
      <c r="D41" s="146"/>
      <c r="E41" s="97"/>
      <c r="F41" s="16"/>
      <c r="G41" s="16"/>
      <c r="H41" s="14"/>
      <c r="I41" s="147"/>
      <c r="J41" s="10"/>
      <c r="M41" s="23"/>
      <c r="N41" s="167"/>
      <c r="O41" s="168"/>
      <c r="P41" s="171"/>
      <c r="Q41" s="92"/>
      <c r="R41" s="92"/>
      <c r="S41" s="92"/>
      <c r="T41" s="134"/>
      <c r="U41" s="7"/>
      <c r="V41" s="7"/>
    </row>
    <row r="42" spans="1:23" x14ac:dyDescent="0.3">
      <c r="C42" s="141" t="s">
        <v>4</v>
      </c>
      <c r="D42" s="141" t="s">
        <v>5</v>
      </c>
      <c r="E42" s="141" t="s">
        <v>78</v>
      </c>
      <c r="F42" s="142" t="s">
        <v>204</v>
      </c>
      <c r="G42" s="142" t="s">
        <v>203</v>
      </c>
      <c r="H42" s="142" t="s">
        <v>202</v>
      </c>
      <c r="I42" s="143" t="s">
        <v>205</v>
      </c>
      <c r="J42" s="141" t="s">
        <v>0</v>
      </c>
      <c r="K42" s="180"/>
      <c r="N42" s="161"/>
      <c r="O42" s="164"/>
      <c r="P42" s="173"/>
      <c r="Q42" s="92"/>
      <c r="R42" s="92"/>
      <c r="S42" s="92"/>
      <c r="T42" s="134"/>
    </row>
    <row r="43" spans="1:23" x14ac:dyDescent="0.3">
      <c r="C43" s="239">
        <v>45809</v>
      </c>
      <c r="D43" s="187">
        <v>45809</v>
      </c>
      <c r="E43" s="184"/>
      <c r="F43" s="185">
        <v>0</v>
      </c>
      <c r="G43" s="191">
        <v>15444</v>
      </c>
      <c r="H43" s="191"/>
      <c r="I43" s="192">
        <v>15444</v>
      </c>
      <c r="J43" s="193">
        <v>-15444</v>
      </c>
      <c r="N43" s="13"/>
      <c r="O43" s="13"/>
      <c r="P43" s="174"/>
    </row>
    <row r="44" spans="1:23" x14ac:dyDescent="0.3">
      <c r="C44" s="239">
        <v>45810</v>
      </c>
      <c r="D44" s="188">
        <v>45810</v>
      </c>
      <c r="E44" s="186"/>
      <c r="F44" s="185">
        <v>0</v>
      </c>
      <c r="G44" s="191">
        <v>12490</v>
      </c>
      <c r="H44" s="191"/>
      <c r="I44" s="192">
        <v>12490</v>
      </c>
      <c r="J44" s="193">
        <v>-12490</v>
      </c>
      <c r="N44" s="13"/>
      <c r="O44" s="13"/>
      <c r="P44" s="174"/>
    </row>
    <row r="45" spans="1:23" x14ac:dyDescent="0.3">
      <c r="C45" s="239">
        <v>45811</v>
      </c>
      <c r="D45" s="188">
        <v>45811</v>
      </c>
      <c r="E45" s="186">
        <v>98600</v>
      </c>
      <c r="F45" s="185">
        <v>98600</v>
      </c>
      <c r="G45" s="191"/>
      <c r="H45" s="191">
        <v>32580</v>
      </c>
      <c r="I45" s="192">
        <v>32580</v>
      </c>
      <c r="J45" s="193">
        <v>66020</v>
      </c>
      <c r="N45" s="13"/>
      <c r="O45" s="13"/>
      <c r="P45" s="174"/>
    </row>
    <row r="46" spans="1:23" x14ac:dyDescent="0.3">
      <c r="C46" s="239">
        <v>45812</v>
      </c>
      <c r="D46" s="188">
        <v>45812</v>
      </c>
      <c r="E46" s="186">
        <v>34000</v>
      </c>
      <c r="F46" s="185">
        <v>34000</v>
      </c>
      <c r="G46" s="238"/>
      <c r="H46" s="191"/>
      <c r="I46" s="192">
        <v>0</v>
      </c>
      <c r="J46" s="193">
        <v>34000</v>
      </c>
      <c r="N46" s="13"/>
      <c r="O46" s="13"/>
      <c r="P46" s="174"/>
    </row>
    <row r="47" spans="1:23" x14ac:dyDescent="0.3">
      <c r="C47" s="239">
        <v>45813</v>
      </c>
      <c r="D47" s="188">
        <v>45813</v>
      </c>
      <c r="E47" s="186"/>
      <c r="F47" s="185">
        <v>0</v>
      </c>
      <c r="G47" s="191">
        <v>838000</v>
      </c>
      <c r="H47" s="191"/>
      <c r="I47" s="192">
        <v>838000</v>
      </c>
      <c r="J47" s="193">
        <v>-838000</v>
      </c>
      <c r="N47" s="13"/>
      <c r="O47" s="13"/>
    </row>
    <row r="48" spans="1:23" x14ac:dyDescent="0.3">
      <c r="C48" s="239">
        <v>45814</v>
      </c>
      <c r="D48" s="188">
        <v>45814</v>
      </c>
      <c r="E48" s="184">
        <v>200807</v>
      </c>
      <c r="F48" s="185">
        <v>200807</v>
      </c>
      <c r="G48" s="191">
        <v>35000</v>
      </c>
      <c r="H48" s="191">
        <v>21550</v>
      </c>
      <c r="I48" s="192">
        <v>56550</v>
      </c>
      <c r="J48" s="193">
        <v>144257</v>
      </c>
      <c r="N48" s="13"/>
      <c r="O48" s="13"/>
    </row>
    <row r="49" spans="3:15" x14ac:dyDescent="0.3">
      <c r="C49" s="239">
        <v>45815</v>
      </c>
      <c r="D49" s="188">
        <v>45815</v>
      </c>
      <c r="E49" s="186">
        <v>12000</v>
      </c>
      <c r="F49" s="185">
        <v>12000</v>
      </c>
      <c r="G49" s="191"/>
      <c r="H49" s="191"/>
      <c r="I49" s="192">
        <v>0</v>
      </c>
      <c r="J49" s="193">
        <v>12000</v>
      </c>
      <c r="N49" s="13"/>
      <c r="O49" s="13"/>
    </row>
    <row r="50" spans="3:15" x14ac:dyDescent="0.3">
      <c r="C50" s="239">
        <v>45816</v>
      </c>
      <c r="D50" s="188">
        <v>45816</v>
      </c>
      <c r="E50" s="186"/>
      <c r="F50" s="185">
        <v>0</v>
      </c>
      <c r="G50" s="191"/>
      <c r="H50" s="191">
        <v>21857</v>
      </c>
      <c r="I50" s="192">
        <v>21857</v>
      </c>
      <c r="J50" s="193">
        <v>-21857</v>
      </c>
      <c r="N50" s="13"/>
      <c r="O50" s="13"/>
    </row>
    <row r="51" spans="3:15" x14ac:dyDescent="0.3">
      <c r="C51" s="239">
        <v>45817</v>
      </c>
      <c r="D51" s="188">
        <v>45817</v>
      </c>
      <c r="E51" s="186"/>
      <c r="F51" s="185">
        <v>0</v>
      </c>
      <c r="G51" s="191">
        <v>1600</v>
      </c>
      <c r="H51" s="191">
        <v>77950</v>
      </c>
      <c r="I51" s="192">
        <v>79550</v>
      </c>
      <c r="J51" s="193">
        <v>-79550</v>
      </c>
      <c r="N51" s="13"/>
      <c r="O51" s="13"/>
    </row>
    <row r="52" spans="3:15" x14ac:dyDescent="0.3">
      <c r="C52" s="239">
        <v>45818</v>
      </c>
      <c r="D52" s="188">
        <v>45818</v>
      </c>
      <c r="E52" s="186"/>
      <c r="F52" s="185">
        <v>0</v>
      </c>
      <c r="G52" s="191">
        <v>400000</v>
      </c>
      <c r="H52" s="191"/>
      <c r="I52" s="192">
        <v>400000</v>
      </c>
      <c r="J52" s="193">
        <v>-400000</v>
      </c>
      <c r="N52" s="13"/>
      <c r="O52" s="13"/>
    </row>
    <row r="53" spans="3:15" x14ac:dyDescent="0.3">
      <c r="C53" s="239">
        <v>45819</v>
      </c>
      <c r="D53" s="188">
        <v>45819</v>
      </c>
      <c r="E53" s="186">
        <v>49800</v>
      </c>
      <c r="F53" s="185">
        <v>49800</v>
      </c>
      <c r="G53" s="191">
        <v>15000</v>
      </c>
      <c r="H53" s="191">
        <v>22030</v>
      </c>
      <c r="I53" s="192">
        <v>37030</v>
      </c>
      <c r="J53" s="193">
        <v>12770</v>
      </c>
      <c r="N53" s="13"/>
      <c r="O53" s="13"/>
    </row>
    <row r="54" spans="3:15" x14ac:dyDescent="0.3">
      <c r="C54" s="239">
        <v>45820</v>
      </c>
      <c r="D54" s="188">
        <v>45820</v>
      </c>
      <c r="E54" s="186">
        <v>77500</v>
      </c>
      <c r="F54" s="185">
        <v>77500</v>
      </c>
      <c r="G54" s="191">
        <v>6000</v>
      </c>
      <c r="H54" s="191"/>
      <c r="I54" s="192">
        <v>6000</v>
      </c>
      <c r="J54" s="193">
        <v>71500</v>
      </c>
      <c r="N54" s="13"/>
      <c r="O54" s="13"/>
    </row>
    <row r="55" spans="3:15" x14ac:dyDescent="0.3">
      <c r="C55" s="239">
        <v>45821</v>
      </c>
      <c r="D55" s="188">
        <v>45821</v>
      </c>
      <c r="E55" s="186">
        <v>66800</v>
      </c>
      <c r="F55" s="185">
        <v>66800</v>
      </c>
      <c r="G55" s="191">
        <v>7990</v>
      </c>
      <c r="H55" s="191">
        <v>119378</v>
      </c>
      <c r="I55" s="192">
        <v>127368</v>
      </c>
      <c r="J55" s="193">
        <v>-60568</v>
      </c>
      <c r="N55" s="13"/>
      <c r="O55" s="13"/>
    </row>
    <row r="56" spans="3:15" x14ac:dyDescent="0.3">
      <c r="C56" s="239">
        <v>45822</v>
      </c>
      <c r="D56" s="188">
        <v>45822</v>
      </c>
      <c r="E56" s="186">
        <v>128640</v>
      </c>
      <c r="F56" s="185">
        <v>128640</v>
      </c>
      <c r="G56" s="191">
        <v>11500</v>
      </c>
      <c r="H56" s="191">
        <v>18200</v>
      </c>
      <c r="I56" s="192">
        <v>29700</v>
      </c>
      <c r="J56" s="193">
        <v>98940</v>
      </c>
      <c r="N56" s="13"/>
      <c r="O56" s="13"/>
    </row>
    <row r="57" spans="3:15" x14ac:dyDescent="0.3">
      <c r="C57" s="239">
        <v>45823</v>
      </c>
      <c r="D57" s="188">
        <v>45823</v>
      </c>
      <c r="E57" s="186">
        <v>374000</v>
      </c>
      <c r="F57" s="185">
        <v>374000</v>
      </c>
      <c r="G57" s="191">
        <v>224200</v>
      </c>
      <c r="H57" s="191"/>
      <c r="I57" s="192">
        <v>224200</v>
      </c>
      <c r="J57" s="193">
        <v>149800</v>
      </c>
      <c r="N57" s="13"/>
      <c r="O57" s="13"/>
    </row>
    <row r="58" spans="3:15" x14ac:dyDescent="0.3">
      <c r="C58" s="239">
        <v>45824</v>
      </c>
      <c r="D58" s="189">
        <v>45824</v>
      </c>
      <c r="E58" s="186">
        <v>18000</v>
      </c>
      <c r="F58" s="185">
        <v>18000</v>
      </c>
      <c r="G58" s="191">
        <v>20000</v>
      </c>
      <c r="H58" s="191">
        <v>48879</v>
      </c>
      <c r="I58" s="192">
        <v>68879</v>
      </c>
      <c r="J58" s="193">
        <v>-50879</v>
      </c>
      <c r="N58" s="13"/>
      <c r="O58" s="13"/>
    </row>
    <row r="59" spans="3:15" x14ac:dyDescent="0.3">
      <c r="C59" s="239">
        <v>45825</v>
      </c>
      <c r="D59" s="188">
        <v>45825</v>
      </c>
      <c r="E59" s="186">
        <v>43850</v>
      </c>
      <c r="F59" s="185">
        <v>43850</v>
      </c>
      <c r="G59" s="191"/>
      <c r="H59" s="191">
        <v>9773</v>
      </c>
      <c r="I59" s="192">
        <v>9773</v>
      </c>
      <c r="J59" s="193">
        <v>34077</v>
      </c>
      <c r="N59" s="13"/>
      <c r="O59" s="13"/>
    </row>
    <row r="60" spans="3:15" x14ac:dyDescent="0.3">
      <c r="C60" s="239">
        <v>45826</v>
      </c>
      <c r="D60" s="188">
        <v>45826</v>
      </c>
      <c r="E60" s="186">
        <v>213360</v>
      </c>
      <c r="F60" s="185">
        <v>213360</v>
      </c>
      <c r="G60" s="191">
        <v>11780</v>
      </c>
      <c r="H60" s="191"/>
      <c r="I60" s="192">
        <v>11780</v>
      </c>
      <c r="J60" s="193">
        <v>201580</v>
      </c>
      <c r="N60" s="13"/>
      <c r="O60" s="13"/>
    </row>
    <row r="61" spans="3:15" x14ac:dyDescent="0.3">
      <c r="C61" s="239">
        <v>45827</v>
      </c>
      <c r="D61" s="188">
        <v>45827</v>
      </c>
      <c r="E61" s="186">
        <v>60050</v>
      </c>
      <c r="F61" s="185">
        <v>60050</v>
      </c>
      <c r="G61" s="191"/>
      <c r="H61" s="191">
        <v>77734</v>
      </c>
      <c r="I61" s="192">
        <v>77734</v>
      </c>
      <c r="J61" s="193">
        <v>-17684</v>
      </c>
      <c r="N61" s="13"/>
      <c r="O61" s="13"/>
    </row>
    <row r="62" spans="3:15" x14ac:dyDescent="0.3">
      <c r="C62" s="239">
        <v>45828</v>
      </c>
      <c r="D62" s="188">
        <v>45828</v>
      </c>
      <c r="E62" s="186">
        <v>10000</v>
      </c>
      <c r="F62" s="185">
        <v>10000</v>
      </c>
      <c r="G62" s="191"/>
      <c r="H62" s="191"/>
      <c r="I62" s="192">
        <v>0</v>
      </c>
      <c r="J62" s="193">
        <v>10000</v>
      </c>
      <c r="N62" s="13"/>
      <c r="O62" s="13"/>
    </row>
    <row r="63" spans="3:15" x14ac:dyDescent="0.3">
      <c r="C63" s="239">
        <v>45829</v>
      </c>
      <c r="D63" s="188">
        <v>45829</v>
      </c>
      <c r="E63" s="186">
        <v>76400</v>
      </c>
      <c r="F63" s="185">
        <v>76400</v>
      </c>
      <c r="G63" s="191">
        <v>31200</v>
      </c>
      <c r="H63" s="191">
        <v>46225</v>
      </c>
      <c r="I63" s="192">
        <v>77425</v>
      </c>
      <c r="J63" s="193">
        <v>-1025</v>
      </c>
      <c r="N63" s="13"/>
      <c r="O63" s="13"/>
    </row>
    <row r="64" spans="3:15" x14ac:dyDescent="0.3">
      <c r="C64" s="239">
        <v>45830</v>
      </c>
      <c r="D64" s="188">
        <v>45830</v>
      </c>
      <c r="E64" s="186">
        <v>302800</v>
      </c>
      <c r="F64" s="185">
        <v>302800</v>
      </c>
      <c r="G64" s="191"/>
      <c r="H64" s="191">
        <v>800</v>
      </c>
      <c r="I64" s="192">
        <v>800</v>
      </c>
      <c r="J64" s="193">
        <v>302000</v>
      </c>
      <c r="N64" s="13"/>
      <c r="O64" s="13"/>
    </row>
    <row r="65" spans="3:15" x14ac:dyDescent="0.3">
      <c r="C65" s="239">
        <v>45831</v>
      </c>
      <c r="D65" s="188">
        <v>45831</v>
      </c>
      <c r="E65" s="186">
        <v>88300</v>
      </c>
      <c r="F65" s="185">
        <v>88300</v>
      </c>
      <c r="G65" s="191"/>
      <c r="H65" s="191">
        <v>38656</v>
      </c>
      <c r="I65" s="192">
        <v>38656</v>
      </c>
      <c r="J65" s="193">
        <v>49644</v>
      </c>
      <c r="N65" s="13"/>
      <c r="O65" s="13"/>
    </row>
    <row r="66" spans="3:15" x14ac:dyDescent="0.3">
      <c r="C66" s="239">
        <v>45832</v>
      </c>
      <c r="D66" s="188">
        <v>45832</v>
      </c>
      <c r="E66" s="186">
        <v>157769</v>
      </c>
      <c r="F66" s="185">
        <v>157769</v>
      </c>
      <c r="G66" s="191"/>
      <c r="H66" s="191">
        <v>30976</v>
      </c>
      <c r="I66" s="192">
        <v>30976</v>
      </c>
      <c r="J66" s="193">
        <v>126793</v>
      </c>
      <c r="N66" s="13"/>
      <c r="O66" s="13"/>
    </row>
    <row r="67" spans="3:15" x14ac:dyDescent="0.3">
      <c r="C67" s="239">
        <v>45833</v>
      </c>
      <c r="D67" s="188">
        <v>45833</v>
      </c>
      <c r="E67" s="186">
        <v>79400</v>
      </c>
      <c r="F67" s="185">
        <v>79400</v>
      </c>
      <c r="G67" s="191">
        <v>4000</v>
      </c>
      <c r="H67" s="191">
        <v>50260</v>
      </c>
      <c r="I67" s="192">
        <v>54260</v>
      </c>
      <c r="J67" s="193">
        <v>25140</v>
      </c>
      <c r="N67" s="13"/>
      <c r="O67" s="13"/>
    </row>
    <row r="68" spans="3:15" x14ac:dyDescent="0.3">
      <c r="C68" s="239">
        <v>45834</v>
      </c>
      <c r="D68" s="188">
        <v>45834</v>
      </c>
      <c r="E68" s="186">
        <v>299160</v>
      </c>
      <c r="F68" s="185">
        <v>299160</v>
      </c>
      <c r="G68" s="191">
        <v>30000</v>
      </c>
      <c r="H68" s="191">
        <v>252102</v>
      </c>
      <c r="I68" s="192">
        <v>282102</v>
      </c>
      <c r="J68" s="193">
        <v>17058</v>
      </c>
      <c r="N68" s="13"/>
      <c r="O68" s="13"/>
    </row>
    <row r="69" spans="3:15" x14ac:dyDescent="0.3">
      <c r="C69" s="239">
        <v>45835</v>
      </c>
      <c r="D69" s="188">
        <v>45835</v>
      </c>
      <c r="E69" s="186">
        <v>103100</v>
      </c>
      <c r="F69" s="185">
        <v>103100</v>
      </c>
      <c r="G69" s="191"/>
      <c r="H69" s="191">
        <v>58462</v>
      </c>
      <c r="I69" s="192">
        <v>58462</v>
      </c>
      <c r="J69" s="193">
        <v>44638</v>
      </c>
      <c r="N69" s="13"/>
      <c r="O69" s="13"/>
    </row>
    <row r="70" spans="3:15" x14ac:dyDescent="0.3">
      <c r="C70" s="239">
        <v>45836</v>
      </c>
      <c r="D70" s="188">
        <v>45836</v>
      </c>
      <c r="E70" s="186">
        <v>168533</v>
      </c>
      <c r="F70" s="185">
        <v>168533</v>
      </c>
      <c r="G70" s="191"/>
      <c r="H70" s="191">
        <v>20809</v>
      </c>
      <c r="I70" s="192">
        <v>20809</v>
      </c>
      <c r="J70" s="193">
        <v>147724</v>
      </c>
      <c r="N70" s="13"/>
      <c r="O70" s="13"/>
    </row>
    <row r="71" spans="3:15" x14ac:dyDescent="0.3">
      <c r="C71" s="239">
        <v>45837</v>
      </c>
      <c r="D71" s="188">
        <v>45837</v>
      </c>
      <c r="E71" s="186">
        <v>129000</v>
      </c>
      <c r="F71" s="185">
        <v>129000</v>
      </c>
      <c r="G71" s="191"/>
      <c r="H71" s="191"/>
      <c r="I71" s="192">
        <v>0</v>
      </c>
      <c r="J71" s="193">
        <v>129000</v>
      </c>
      <c r="N71" s="13"/>
      <c r="O71" s="13"/>
    </row>
    <row r="72" spans="3:15" x14ac:dyDescent="0.3">
      <c r="C72" s="239">
        <v>45838</v>
      </c>
      <c r="D72" s="188">
        <v>45838</v>
      </c>
      <c r="E72" s="186">
        <v>508000</v>
      </c>
      <c r="F72" s="185">
        <v>508000</v>
      </c>
      <c r="G72" s="191">
        <v>2340</v>
      </c>
      <c r="H72" s="191">
        <v>33462</v>
      </c>
      <c r="I72" s="192">
        <v>35802</v>
      </c>
      <c r="J72" s="193">
        <v>472198</v>
      </c>
      <c r="N72" s="13"/>
      <c r="O72" s="13"/>
    </row>
    <row r="73" spans="3:15" x14ac:dyDescent="0.3">
      <c r="C73" s="239">
        <v>45839</v>
      </c>
      <c r="D73" s="188">
        <v>45839</v>
      </c>
      <c r="E73" s="186"/>
      <c r="F73" s="185">
        <v>0</v>
      </c>
      <c r="G73" s="191"/>
      <c r="H73" s="191"/>
      <c r="I73" s="192">
        <v>0</v>
      </c>
      <c r="J73" s="193">
        <v>0</v>
      </c>
      <c r="N73" s="13"/>
      <c r="O73" s="13"/>
    </row>
    <row r="74" spans="3:15" ht="15" thickBot="1" x14ac:dyDescent="0.35">
      <c r="C74" s="3" t="s">
        <v>11</v>
      </c>
      <c r="E74" s="181">
        <v>3299869</v>
      </c>
      <c r="F74" s="181">
        <v>3299869</v>
      </c>
      <c r="G74" s="181">
        <v>1666544</v>
      </c>
      <c r="H74" s="181">
        <v>981683</v>
      </c>
      <c r="I74" s="182">
        <v>2648227</v>
      </c>
      <c r="J74" s="183">
        <v>651642</v>
      </c>
      <c r="K74" s="12"/>
      <c r="N74" s="13"/>
      <c r="O74" s="13"/>
    </row>
    <row r="75" spans="3:15" x14ac:dyDescent="0.3">
      <c r="N75" s="13"/>
      <c r="O75" s="13"/>
    </row>
    <row r="76" spans="3:15" x14ac:dyDescent="0.3">
      <c r="N76" s="13"/>
      <c r="O76" s="13"/>
    </row>
    <row r="77" spans="3:15" x14ac:dyDescent="0.3">
      <c r="N77" s="13"/>
      <c r="O77" s="13"/>
    </row>
    <row r="78" spans="3:15" x14ac:dyDescent="0.3">
      <c r="N78" s="13"/>
      <c r="O78" s="13"/>
    </row>
    <row r="79" spans="3:15" x14ac:dyDescent="0.3">
      <c r="N79" s="13"/>
      <c r="O79" s="13"/>
    </row>
    <row r="80" spans="3:15" x14ac:dyDescent="0.3">
      <c r="N80" s="13"/>
      <c r="O80" s="13"/>
    </row>
    <row r="81" spans="14:15" x14ac:dyDescent="0.3">
      <c r="N81" s="13"/>
      <c r="O81" s="13"/>
    </row>
    <row r="82" spans="14:15" x14ac:dyDescent="0.3">
      <c r="N82" s="13"/>
      <c r="O82" s="13"/>
    </row>
    <row r="83" spans="14:15" x14ac:dyDescent="0.3">
      <c r="N83" s="13"/>
      <c r="O83" s="13"/>
    </row>
    <row r="84" spans="14:15" x14ac:dyDescent="0.3">
      <c r="N84" s="13"/>
      <c r="O84" s="13"/>
    </row>
    <row r="85" spans="14:15" x14ac:dyDescent="0.3">
      <c r="N85" s="13"/>
      <c r="O85" s="13"/>
    </row>
    <row r="86" spans="14:15" x14ac:dyDescent="0.3">
      <c r="N86" s="13"/>
      <c r="O86" s="13"/>
    </row>
    <row r="87" spans="14:15" x14ac:dyDescent="0.3">
      <c r="N87" s="13"/>
      <c r="O87" s="13"/>
    </row>
    <row r="88" spans="14:15" x14ac:dyDescent="0.3">
      <c r="N88" s="13"/>
      <c r="O88" s="13"/>
    </row>
    <row r="89" spans="14:15" x14ac:dyDescent="0.3">
      <c r="N89" s="13"/>
      <c r="O89" s="13"/>
    </row>
    <row r="90" spans="14:15" x14ac:dyDescent="0.3">
      <c r="N90" s="13"/>
      <c r="O90" s="13"/>
    </row>
    <row r="91" spans="14:15" x14ac:dyDescent="0.3">
      <c r="N91" s="13"/>
      <c r="O91" s="13"/>
    </row>
    <row r="92" spans="14:15" x14ac:dyDescent="0.3">
      <c r="N92" s="13"/>
      <c r="O92" s="13"/>
    </row>
    <row r="93" spans="14:15" x14ac:dyDescent="0.3">
      <c r="N93" s="13"/>
      <c r="O93" s="13"/>
    </row>
    <row r="94" spans="14:15" x14ac:dyDescent="0.3">
      <c r="N94" s="13"/>
      <c r="O94" s="13"/>
    </row>
    <row r="95" spans="14:15" x14ac:dyDescent="0.3">
      <c r="N95" s="13"/>
      <c r="O95" s="13"/>
    </row>
    <row r="96" spans="14:15" x14ac:dyDescent="0.3">
      <c r="N96" s="13"/>
      <c r="O96" s="13"/>
    </row>
    <row r="97" spans="14:15" x14ac:dyDescent="0.3">
      <c r="N97" s="13"/>
      <c r="O97" s="13"/>
    </row>
    <row r="98" spans="14:15" x14ac:dyDescent="0.3">
      <c r="N98" s="13"/>
      <c r="O98" s="13"/>
    </row>
    <row r="99" spans="14:15" x14ac:dyDescent="0.3">
      <c r="N99" s="13"/>
      <c r="O99" s="13"/>
    </row>
    <row r="100" spans="14:15" x14ac:dyDescent="0.3">
      <c r="N100" s="13"/>
      <c r="O100" s="13"/>
    </row>
    <row r="101" spans="14:15" x14ac:dyDescent="0.3">
      <c r="N101" s="13"/>
      <c r="O101" s="13"/>
    </row>
    <row r="102" spans="14:15" x14ac:dyDescent="0.3">
      <c r="N102" s="13"/>
      <c r="O102" s="13"/>
    </row>
    <row r="103" spans="14:15" x14ac:dyDescent="0.3">
      <c r="N103" s="13"/>
      <c r="O103" s="13"/>
    </row>
    <row r="104" spans="14:15" x14ac:dyDescent="0.3">
      <c r="N104" s="13"/>
      <c r="O104" s="13"/>
    </row>
    <row r="105" spans="14:15" x14ac:dyDescent="0.3">
      <c r="N105" s="13"/>
      <c r="O105" s="13"/>
    </row>
    <row r="106" spans="14:15" x14ac:dyDescent="0.3">
      <c r="N106" s="13"/>
      <c r="O106" s="13"/>
    </row>
    <row r="107" spans="14:15" x14ac:dyDescent="0.3">
      <c r="N107" s="13"/>
      <c r="O107" s="13"/>
    </row>
    <row r="108" spans="14:15" x14ac:dyDescent="0.3">
      <c r="N108" s="13"/>
      <c r="O108" s="13"/>
    </row>
    <row r="109" spans="14:15" x14ac:dyDescent="0.3">
      <c r="N109" s="13"/>
      <c r="O109" s="13"/>
    </row>
    <row r="110" spans="14:15" x14ac:dyDescent="0.3">
      <c r="N110" s="13"/>
      <c r="O110" s="13"/>
    </row>
    <row r="111" spans="14:15" x14ac:dyDescent="0.3">
      <c r="N111" s="13"/>
      <c r="O111" s="13"/>
    </row>
    <row r="112" spans="14:15" x14ac:dyDescent="0.3">
      <c r="N112" s="13"/>
      <c r="O112" s="13"/>
    </row>
    <row r="113" spans="14:15" x14ac:dyDescent="0.3">
      <c r="N113" s="13"/>
      <c r="O113" s="13"/>
    </row>
    <row r="114" spans="14:15" x14ac:dyDescent="0.3">
      <c r="N114" s="13"/>
      <c r="O114" s="13"/>
    </row>
    <row r="115" spans="14:15" x14ac:dyDescent="0.3">
      <c r="N115" s="13"/>
      <c r="O115" s="13"/>
    </row>
    <row r="116" spans="14:15" x14ac:dyDescent="0.3">
      <c r="N116" s="13"/>
      <c r="O116" s="13"/>
    </row>
    <row r="117" spans="14:15" x14ac:dyDescent="0.3">
      <c r="N117" s="13"/>
      <c r="O117" s="13"/>
    </row>
    <row r="118" spans="14:15" x14ac:dyDescent="0.3">
      <c r="N118" s="13"/>
      <c r="O118" s="13"/>
    </row>
    <row r="119" spans="14:15" x14ac:dyDescent="0.3">
      <c r="N119" s="13"/>
      <c r="O119" s="13"/>
    </row>
    <row r="120" spans="14:15" x14ac:dyDescent="0.3">
      <c r="N120" s="13"/>
      <c r="O120" s="13"/>
    </row>
    <row r="121" spans="14:15" x14ac:dyDescent="0.3">
      <c r="N121" s="13"/>
      <c r="O121" s="13"/>
    </row>
    <row r="122" spans="14:15" x14ac:dyDescent="0.3">
      <c r="N122" s="13"/>
      <c r="O122" s="13"/>
    </row>
    <row r="123" spans="14:15" x14ac:dyDescent="0.3">
      <c r="N123" s="13"/>
      <c r="O123" s="13"/>
    </row>
    <row r="124" spans="14:15" x14ac:dyDescent="0.3">
      <c r="N124" s="13"/>
      <c r="O124" s="13"/>
    </row>
    <row r="125" spans="14:15" x14ac:dyDescent="0.3">
      <c r="N125" s="13"/>
      <c r="O125" s="13"/>
    </row>
    <row r="126" spans="14:15" x14ac:dyDescent="0.3">
      <c r="N126" s="13"/>
      <c r="O126" s="13"/>
    </row>
    <row r="127" spans="14:15" x14ac:dyDescent="0.3">
      <c r="N127" s="13"/>
      <c r="O127" s="13"/>
    </row>
    <row r="128" spans="14:15" x14ac:dyDescent="0.3">
      <c r="N128" s="13"/>
      <c r="O128" s="13"/>
    </row>
    <row r="129" spans="14:15" x14ac:dyDescent="0.3">
      <c r="N129" s="13"/>
      <c r="O129" s="13"/>
    </row>
    <row r="130" spans="14:15" x14ac:dyDescent="0.3">
      <c r="N130" s="13"/>
      <c r="O130" s="13"/>
    </row>
    <row r="131" spans="14:15" x14ac:dyDescent="0.3">
      <c r="N131" s="13"/>
      <c r="O131" s="13"/>
    </row>
    <row r="132" spans="14:15" x14ac:dyDescent="0.3">
      <c r="N132" s="13"/>
      <c r="O132" s="13"/>
    </row>
    <row r="133" spans="14:15" x14ac:dyDescent="0.3">
      <c r="N133" s="13"/>
      <c r="O133" s="13"/>
    </row>
    <row r="134" spans="14:15" x14ac:dyDescent="0.3">
      <c r="N134" s="13"/>
      <c r="O134" s="13"/>
    </row>
    <row r="135" spans="14:15" x14ac:dyDescent="0.3">
      <c r="N135" s="13"/>
      <c r="O135" s="13"/>
    </row>
    <row r="136" spans="14:15" x14ac:dyDescent="0.3">
      <c r="N136" s="13"/>
      <c r="O136" s="13"/>
    </row>
    <row r="137" spans="14:15" x14ac:dyDescent="0.3">
      <c r="N137" s="13"/>
      <c r="O137" s="13"/>
    </row>
    <row r="138" spans="14:15" x14ac:dyDescent="0.3">
      <c r="N138" s="13"/>
      <c r="O138" s="13"/>
    </row>
    <row r="139" spans="14:15" x14ac:dyDescent="0.3">
      <c r="N139" s="13"/>
      <c r="O139" s="13"/>
    </row>
    <row r="140" spans="14:15" x14ac:dyDescent="0.3">
      <c r="N140" s="13"/>
      <c r="O140" s="13"/>
    </row>
    <row r="141" spans="14:15" x14ac:dyDescent="0.3">
      <c r="N141" s="13"/>
      <c r="O141" s="13"/>
    </row>
    <row r="142" spans="14:15" x14ac:dyDescent="0.3">
      <c r="N142" s="13"/>
      <c r="O142" s="13"/>
    </row>
    <row r="143" spans="14:15" x14ac:dyDescent="0.3">
      <c r="N143" s="13"/>
      <c r="O143" s="13"/>
    </row>
    <row r="144" spans="14:15" x14ac:dyDescent="0.3">
      <c r="N144" s="13"/>
      <c r="O144" s="13"/>
    </row>
    <row r="145" spans="14:15" x14ac:dyDescent="0.3">
      <c r="N145" s="13"/>
      <c r="O145" s="13"/>
    </row>
    <row r="146" spans="14:15" x14ac:dyDescent="0.3">
      <c r="N146" s="13"/>
      <c r="O146" s="13"/>
    </row>
    <row r="147" spans="14:15" x14ac:dyDescent="0.3">
      <c r="N147" s="13"/>
      <c r="O147" s="13"/>
    </row>
    <row r="148" spans="14:15" x14ac:dyDescent="0.3">
      <c r="N148" s="13"/>
      <c r="O148" s="13"/>
    </row>
    <row r="149" spans="14:15" x14ac:dyDescent="0.3">
      <c r="N149" s="13"/>
      <c r="O149" s="13"/>
    </row>
    <row r="150" spans="14:15" x14ac:dyDescent="0.3">
      <c r="N150" s="13"/>
      <c r="O150" s="13"/>
    </row>
    <row r="151" spans="14:15" x14ac:dyDescent="0.3">
      <c r="N151" s="13"/>
      <c r="O151" s="13"/>
    </row>
    <row r="152" spans="14:15" x14ac:dyDescent="0.3">
      <c r="N152" s="13"/>
      <c r="O152" s="13"/>
    </row>
    <row r="153" spans="14:15" x14ac:dyDescent="0.3">
      <c r="N153" s="13"/>
      <c r="O153" s="13"/>
    </row>
    <row r="154" spans="14:15" x14ac:dyDescent="0.3">
      <c r="N154" s="13"/>
      <c r="O154" s="13"/>
    </row>
    <row r="155" spans="14:15" x14ac:dyDescent="0.3">
      <c r="N155" s="13"/>
      <c r="O155" s="13"/>
    </row>
    <row r="156" spans="14:15" x14ac:dyDescent="0.3">
      <c r="N156" s="13"/>
      <c r="O156" s="13"/>
    </row>
    <row r="157" spans="14:15" x14ac:dyDescent="0.3">
      <c r="N157" s="13"/>
      <c r="O157" s="13"/>
    </row>
    <row r="158" spans="14:15" x14ac:dyDescent="0.3">
      <c r="N158" s="13"/>
      <c r="O158" s="13"/>
    </row>
    <row r="159" spans="14:15" x14ac:dyDescent="0.3">
      <c r="N159" s="13"/>
      <c r="O159" s="13"/>
    </row>
    <row r="160" spans="14:15" x14ac:dyDescent="0.3">
      <c r="N160" s="13"/>
      <c r="O160" s="13"/>
    </row>
    <row r="161" spans="14:15" x14ac:dyDescent="0.3">
      <c r="N161" s="13"/>
      <c r="O161" s="13"/>
    </row>
    <row r="162" spans="14:15" x14ac:dyDescent="0.3">
      <c r="N162" s="13"/>
      <c r="O162" s="13"/>
    </row>
    <row r="163" spans="14:15" x14ac:dyDescent="0.3">
      <c r="N163" s="13"/>
      <c r="O163" s="13"/>
    </row>
    <row r="164" spans="14:15" x14ac:dyDescent="0.3">
      <c r="N164" s="13"/>
      <c r="O164" s="13"/>
    </row>
    <row r="165" spans="14:15" x14ac:dyDescent="0.3">
      <c r="N165" s="13"/>
      <c r="O165" s="13"/>
    </row>
    <row r="166" spans="14:15" x14ac:dyDescent="0.3">
      <c r="N166" s="13"/>
      <c r="O166" s="13"/>
    </row>
    <row r="167" spans="14:15" x14ac:dyDescent="0.3">
      <c r="N167" s="13"/>
      <c r="O167" s="13"/>
    </row>
    <row r="168" spans="14:15" x14ac:dyDescent="0.3">
      <c r="N168" s="13"/>
      <c r="O168" s="13"/>
    </row>
    <row r="169" spans="14:15" x14ac:dyDescent="0.3">
      <c r="N169" s="13"/>
      <c r="O169" s="13"/>
    </row>
    <row r="170" spans="14:15" x14ac:dyDescent="0.3">
      <c r="N170" s="13"/>
      <c r="O170" s="13"/>
    </row>
    <row r="171" spans="14:15" x14ac:dyDescent="0.3">
      <c r="N171" s="13"/>
      <c r="O171" s="13"/>
    </row>
    <row r="172" spans="14:15" x14ac:dyDescent="0.3">
      <c r="N172" s="13"/>
      <c r="O172" s="13"/>
    </row>
    <row r="173" spans="14:15" x14ac:dyDescent="0.3">
      <c r="N173" s="13"/>
      <c r="O173" s="13"/>
    </row>
    <row r="174" spans="14:15" x14ac:dyDescent="0.3">
      <c r="N174" s="13"/>
      <c r="O174" s="13"/>
    </row>
    <row r="175" spans="14:15" x14ac:dyDescent="0.3">
      <c r="N175" s="13"/>
      <c r="O175" s="13"/>
    </row>
    <row r="176" spans="14:15" x14ac:dyDescent="0.3">
      <c r="N176" s="13"/>
      <c r="O176" s="13"/>
    </row>
    <row r="177" spans="14:15" x14ac:dyDescent="0.3">
      <c r="N177" s="13"/>
      <c r="O177" s="13"/>
    </row>
    <row r="178" spans="14:15" x14ac:dyDescent="0.3">
      <c r="N178" s="13"/>
      <c r="O178" s="13"/>
    </row>
    <row r="179" spans="14:15" x14ac:dyDescent="0.3">
      <c r="N179" s="13"/>
      <c r="O179" s="13"/>
    </row>
    <row r="180" spans="14:15" x14ac:dyDescent="0.3">
      <c r="N180" s="13"/>
      <c r="O180" s="13"/>
    </row>
    <row r="181" spans="14:15" x14ac:dyDescent="0.3">
      <c r="N181" s="13"/>
      <c r="O181" s="13"/>
    </row>
    <row r="182" spans="14:15" x14ac:dyDescent="0.3">
      <c r="N182" s="13"/>
      <c r="O182" s="13"/>
    </row>
    <row r="183" spans="14:15" x14ac:dyDescent="0.3">
      <c r="N183" s="13"/>
      <c r="O183" s="13"/>
    </row>
    <row r="184" spans="14:15" x14ac:dyDescent="0.3">
      <c r="N184" s="13"/>
      <c r="O184" s="13"/>
    </row>
    <row r="185" spans="14:15" x14ac:dyDescent="0.3">
      <c r="N185" s="13"/>
      <c r="O185" s="13"/>
    </row>
    <row r="186" spans="14:15" x14ac:dyDescent="0.3">
      <c r="N186" s="13"/>
      <c r="O186" s="13"/>
    </row>
    <row r="187" spans="14:15" x14ac:dyDescent="0.3">
      <c r="N187" s="13"/>
      <c r="O187" s="13"/>
    </row>
    <row r="188" spans="14:15" x14ac:dyDescent="0.3">
      <c r="N188" s="13"/>
      <c r="O188" s="13"/>
    </row>
    <row r="189" spans="14:15" x14ac:dyDescent="0.3">
      <c r="N189" s="13"/>
      <c r="O189" s="13"/>
    </row>
    <row r="190" spans="14:15" x14ac:dyDescent="0.3">
      <c r="N190" s="13"/>
      <c r="O190" s="13"/>
    </row>
    <row r="191" spans="14:15" x14ac:dyDescent="0.3">
      <c r="N191" s="13"/>
      <c r="O191" s="13"/>
    </row>
    <row r="192" spans="14:15" x14ac:dyDescent="0.3">
      <c r="N192" s="13"/>
      <c r="O192" s="13"/>
    </row>
    <row r="193" spans="14:15" x14ac:dyDescent="0.3">
      <c r="N193" s="13"/>
      <c r="O193" s="13"/>
    </row>
    <row r="194" spans="14:15" x14ac:dyDescent="0.3">
      <c r="N194" s="13"/>
      <c r="O194" s="13"/>
    </row>
    <row r="195" spans="14:15" x14ac:dyDescent="0.3">
      <c r="N195" s="13"/>
      <c r="O195" s="13"/>
    </row>
    <row r="196" spans="14:15" x14ac:dyDescent="0.3">
      <c r="N196" s="13"/>
      <c r="O196" s="13"/>
    </row>
    <row r="197" spans="14:15" x14ac:dyDescent="0.3">
      <c r="N197" s="13"/>
      <c r="O197" s="13"/>
    </row>
    <row r="198" spans="14:15" x14ac:dyDescent="0.3">
      <c r="N198" s="13"/>
      <c r="O198" s="13"/>
    </row>
    <row r="199" spans="14:15" x14ac:dyDescent="0.3">
      <c r="N199" s="13"/>
      <c r="O199" s="13"/>
    </row>
    <row r="200" spans="14:15" x14ac:dyDescent="0.3">
      <c r="N200" s="13"/>
      <c r="O200" s="13"/>
    </row>
    <row r="201" spans="14:15" x14ac:dyDescent="0.3">
      <c r="N201" s="13"/>
      <c r="O201" s="13"/>
    </row>
    <row r="202" spans="14:15" x14ac:dyDescent="0.3">
      <c r="N202" s="13"/>
      <c r="O202" s="13"/>
    </row>
    <row r="203" spans="14:15" x14ac:dyDescent="0.3">
      <c r="N203" s="13"/>
      <c r="O203" s="13"/>
    </row>
    <row r="204" spans="14:15" x14ac:dyDescent="0.3">
      <c r="N204" s="13"/>
      <c r="O204" s="13"/>
    </row>
    <row r="205" spans="14:15" x14ac:dyDescent="0.3">
      <c r="N205" s="13"/>
      <c r="O205" s="13"/>
    </row>
    <row r="206" spans="14:15" x14ac:dyDescent="0.3">
      <c r="N206" s="13"/>
      <c r="O206" s="13"/>
    </row>
    <row r="207" spans="14:15" x14ac:dyDescent="0.3">
      <c r="N207" s="13"/>
      <c r="O207" s="13"/>
    </row>
    <row r="208" spans="14:15" x14ac:dyDescent="0.3">
      <c r="N208" s="13"/>
      <c r="O208" s="13"/>
    </row>
    <row r="209" spans="14:15" x14ac:dyDescent="0.3">
      <c r="N209" s="13"/>
      <c r="O209" s="13"/>
    </row>
    <row r="210" spans="14:15" x14ac:dyDescent="0.3">
      <c r="N210" s="13"/>
      <c r="O210" s="13"/>
    </row>
    <row r="211" spans="14:15" x14ac:dyDescent="0.3">
      <c r="N211" s="13"/>
      <c r="O211" s="13"/>
    </row>
    <row r="212" spans="14:15" x14ac:dyDescent="0.3">
      <c r="N212" s="13"/>
      <c r="O212" s="13"/>
    </row>
    <row r="213" spans="14:15" x14ac:dyDescent="0.3">
      <c r="N213" s="13"/>
      <c r="O213" s="13"/>
    </row>
    <row r="214" spans="14:15" x14ac:dyDescent="0.3">
      <c r="N214" s="13"/>
      <c r="O214" s="13"/>
    </row>
    <row r="215" spans="14:15" x14ac:dyDescent="0.3">
      <c r="N215" s="13"/>
      <c r="O215" s="13"/>
    </row>
    <row r="216" spans="14:15" x14ac:dyDescent="0.3">
      <c r="N216" s="13"/>
      <c r="O216" s="13"/>
    </row>
    <row r="217" spans="14:15" x14ac:dyDescent="0.3">
      <c r="N217" s="13"/>
      <c r="O217" s="13"/>
    </row>
    <row r="218" spans="14:15" x14ac:dyDescent="0.3">
      <c r="N218" s="13"/>
      <c r="O218" s="13"/>
    </row>
    <row r="219" spans="14:15" x14ac:dyDescent="0.3">
      <c r="N219" s="13"/>
      <c r="O219" s="13"/>
    </row>
    <row r="220" spans="14:15" x14ac:dyDescent="0.3">
      <c r="N220" s="13"/>
      <c r="O220" s="13"/>
    </row>
    <row r="221" spans="14:15" x14ac:dyDescent="0.3">
      <c r="N221" s="13"/>
      <c r="O221" s="13"/>
    </row>
    <row r="222" spans="14:15" x14ac:dyDescent="0.3">
      <c r="N222" s="13"/>
      <c r="O222" s="13"/>
    </row>
    <row r="223" spans="14:15" x14ac:dyDescent="0.3">
      <c r="N223" s="13"/>
      <c r="O223" s="13"/>
    </row>
    <row r="224" spans="14:15" x14ac:dyDescent="0.3">
      <c r="N224" s="13"/>
      <c r="O224" s="13"/>
    </row>
    <row r="225" spans="14:15" x14ac:dyDescent="0.3">
      <c r="N225" s="13"/>
      <c r="O225" s="13"/>
    </row>
    <row r="226" spans="14:15" x14ac:dyDescent="0.3">
      <c r="N226" s="13"/>
      <c r="O226" s="13"/>
    </row>
    <row r="227" spans="14:15" x14ac:dyDescent="0.3">
      <c r="N227" s="13"/>
      <c r="O227" s="13"/>
    </row>
    <row r="228" spans="14:15" x14ac:dyDescent="0.3">
      <c r="N228" s="13"/>
      <c r="O228" s="13"/>
    </row>
    <row r="229" spans="14:15" x14ac:dyDescent="0.3">
      <c r="N229" s="13"/>
      <c r="O229" s="13"/>
    </row>
    <row r="230" spans="14:15" x14ac:dyDescent="0.3">
      <c r="N230" s="13"/>
      <c r="O230" s="13"/>
    </row>
    <row r="231" spans="14:15" x14ac:dyDescent="0.3">
      <c r="N231" s="13"/>
      <c r="O231" s="13"/>
    </row>
    <row r="232" spans="14:15" x14ac:dyDescent="0.3">
      <c r="N232" s="13"/>
      <c r="O232" s="13"/>
    </row>
    <row r="233" spans="14:15" x14ac:dyDescent="0.3">
      <c r="N233" s="13"/>
      <c r="O233" s="13"/>
    </row>
    <row r="234" spans="14:15" x14ac:dyDescent="0.3">
      <c r="N234" s="13"/>
      <c r="O234" s="13"/>
    </row>
    <row r="235" spans="14:15" x14ac:dyDescent="0.3">
      <c r="N235" s="13"/>
      <c r="O235" s="13"/>
    </row>
    <row r="236" spans="14:15" x14ac:dyDescent="0.3">
      <c r="N236" s="13"/>
      <c r="O236" s="13"/>
    </row>
    <row r="237" spans="14:15" x14ac:dyDescent="0.3">
      <c r="N237" s="13"/>
      <c r="O237" s="13"/>
    </row>
    <row r="238" spans="14:15" x14ac:dyDescent="0.3">
      <c r="N238" s="13"/>
      <c r="O238" s="13"/>
    </row>
    <row r="239" spans="14:15" x14ac:dyDescent="0.3">
      <c r="N239" s="13"/>
      <c r="O239" s="13"/>
    </row>
    <row r="240" spans="14:15" x14ac:dyDescent="0.3">
      <c r="N240" s="13"/>
      <c r="O240" s="13"/>
    </row>
    <row r="241" spans="14:15" x14ac:dyDescent="0.3">
      <c r="N241" s="13"/>
      <c r="O241" s="13"/>
    </row>
    <row r="242" spans="14:15" x14ac:dyDescent="0.3">
      <c r="N242" s="13"/>
      <c r="O242" s="13"/>
    </row>
    <row r="243" spans="14:15" x14ac:dyDescent="0.3">
      <c r="N243" s="13"/>
      <c r="O243" s="13"/>
    </row>
    <row r="244" spans="14:15" x14ac:dyDescent="0.3">
      <c r="N244" s="13"/>
      <c r="O244" s="13"/>
    </row>
    <row r="245" spans="14:15" x14ac:dyDescent="0.3">
      <c r="N245" s="13"/>
      <c r="O245" s="13"/>
    </row>
    <row r="246" spans="14:15" x14ac:dyDescent="0.3">
      <c r="N246" s="13"/>
      <c r="O246" s="13"/>
    </row>
    <row r="247" spans="14:15" x14ac:dyDescent="0.3">
      <c r="N247" s="13"/>
      <c r="O247" s="13"/>
    </row>
    <row r="248" spans="14:15" x14ac:dyDescent="0.3">
      <c r="N248" s="13"/>
      <c r="O248" s="13"/>
    </row>
    <row r="249" spans="14:15" x14ac:dyDescent="0.3">
      <c r="N249" s="13"/>
      <c r="O249" s="13"/>
    </row>
    <row r="250" spans="14:15" x14ac:dyDescent="0.3">
      <c r="N250" s="13"/>
      <c r="O250" s="13"/>
    </row>
    <row r="251" spans="14:15" x14ac:dyDescent="0.3">
      <c r="N251" s="13"/>
      <c r="O251" s="13"/>
    </row>
    <row r="252" spans="14:15" x14ac:dyDescent="0.3">
      <c r="N252" s="13"/>
      <c r="O252" s="13"/>
    </row>
    <row r="253" spans="14:15" x14ac:dyDescent="0.3">
      <c r="N253" s="13"/>
      <c r="O253" s="13"/>
    </row>
    <row r="254" spans="14:15" x14ac:dyDescent="0.3">
      <c r="N254" s="13"/>
      <c r="O254" s="13"/>
    </row>
    <row r="255" spans="14:15" x14ac:dyDescent="0.3">
      <c r="N255" s="13"/>
      <c r="O255" s="13"/>
    </row>
    <row r="256" spans="14:15" x14ac:dyDescent="0.3">
      <c r="N256" s="13"/>
      <c r="O256" s="13"/>
    </row>
    <row r="257" spans="14:15" x14ac:dyDescent="0.3">
      <c r="N257" s="13"/>
      <c r="O257" s="13"/>
    </row>
    <row r="258" spans="14:15" x14ac:dyDescent="0.3">
      <c r="N258" s="13"/>
      <c r="O258" s="13"/>
    </row>
    <row r="259" spans="14:15" x14ac:dyDescent="0.3">
      <c r="N259" s="13"/>
      <c r="O259" s="13"/>
    </row>
    <row r="260" spans="14:15" x14ac:dyDescent="0.3">
      <c r="N260" s="13"/>
      <c r="O260" s="13"/>
    </row>
    <row r="261" spans="14:15" x14ac:dyDescent="0.3">
      <c r="N261" s="13"/>
      <c r="O261" s="13"/>
    </row>
    <row r="262" spans="14:15" x14ac:dyDescent="0.3">
      <c r="N262" s="13"/>
      <c r="O262" s="13"/>
    </row>
    <row r="263" spans="14:15" x14ac:dyDescent="0.3">
      <c r="N263" s="13"/>
      <c r="O263" s="13"/>
    </row>
    <row r="264" spans="14:15" x14ac:dyDescent="0.3">
      <c r="N264" s="13"/>
      <c r="O264" s="13"/>
    </row>
    <row r="265" spans="14:15" x14ac:dyDescent="0.3">
      <c r="N265" s="13"/>
      <c r="O265" s="13"/>
    </row>
    <row r="266" spans="14:15" x14ac:dyDescent="0.3">
      <c r="N266" s="13"/>
      <c r="O266" s="13"/>
    </row>
    <row r="267" spans="14:15" x14ac:dyDescent="0.3">
      <c r="N267" s="13"/>
      <c r="O267" s="13"/>
    </row>
    <row r="268" spans="14:15" x14ac:dyDescent="0.3">
      <c r="N268" s="13"/>
      <c r="O268" s="13"/>
    </row>
    <row r="269" spans="14:15" x14ac:dyDescent="0.3">
      <c r="N269" s="13"/>
      <c r="O269" s="13"/>
    </row>
    <row r="270" spans="14:15" x14ac:dyDescent="0.3">
      <c r="N270" s="13"/>
      <c r="O270" s="13"/>
    </row>
    <row r="271" spans="14:15" x14ac:dyDescent="0.3">
      <c r="N271" s="13"/>
      <c r="O271" s="13"/>
    </row>
    <row r="272" spans="14:15" x14ac:dyDescent="0.3">
      <c r="N272" s="13"/>
      <c r="O272" s="13"/>
    </row>
    <row r="273" spans="14:15" x14ac:dyDescent="0.3">
      <c r="N273" s="13"/>
      <c r="O273" s="13"/>
    </row>
    <row r="274" spans="14:15" x14ac:dyDescent="0.3">
      <c r="N274" s="13"/>
      <c r="O274" s="13"/>
    </row>
    <row r="275" spans="14:15" x14ac:dyDescent="0.3">
      <c r="N275" s="13"/>
      <c r="O275" s="13"/>
    </row>
    <row r="276" spans="14:15" x14ac:dyDescent="0.3">
      <c r="N276" s="13"/>
      <c r="O276" s="13"/>
    </row>
    <row r="277" spans="14:15" x14ac:dyDescent="0.3">
      <c r="N277" s="13"/>
      <c r="O277" s="13"/>
    </row>
    <row r="278" spans="14:15" x14ac:dyDescent="0.3">
      <c r="N278" s="13"/>
      <c r="O278" s="13"/>
    </row>
    <row r="279" spans="14:15" x14ac:dyDescent="0.3">
      <c r="N279" s="13"/>
      <c r="O279" s="13"/>
    </row>
    <row r="280" spans="14:15" x14ac:dyDescent="0.3">
      <c r="N280" s="13"/>
      <c r="O280" s="13"/>
    </row>
    <row r="281" spans="14:15" x14ac:dyDescent="0.3">
      <c r="N281" s="13"/>
      <c r="O281" s="13"/>
    </row>
    <row r="282" spans="14:15" x14ac:dyDescent="0.3">
      <c r="N282" s="13"/>
      <c r="O282" s="13"/>
    </row>
    <row r="283" spans="14:15" x14ac:dyDescent="0.3">
      <c r="N283" s="13"/>
      <c r="O283" s="13"/>
    </row>
    <row r="284" spans="14:15" x14ac:dyDescent="0.3">
      <c r="N284" s="13"/>
      <c r="O284" s="13"/>
    </row>
    <row r="285" spans="14:15" x14ac:dyDescent="0.3">
      <c r="N285" s="13"/>
      <c r="O285" s="13"/>
    </row>
    <row r="1040975" spans="19:19" x14ac:dyDescent="0.3">
      <c r="S1040975" s="3" t="s">
        <v>171</v>
      </c>
    </row>
    <row r="1046909" spans="5:5" x14ac:dyDescent="0.3">
      <c r="E1046909" s="3" t="s">
        <v>171</v>
      </c>
    </row>
  </sheetData>
  <mergeCells count="2">
    <mergeCell ref="C1:J1"/>
    <mergeCell ref="C36:D36"/>
  </mergeCells>
  <conditionalFormatting sqref="Q36">
    <cfRule type="expression" dxfId="63" priority="12">
      <formula>IF(#REF!=1,TRUE,FALSE)</formula>
    </cfRule>
  </conditionalFormatting>
  <conditionalFormatting sqref="S36:T36">
    <cfRule type="expression" dxfId="62" priority="11">
      <formula>IF(#REF!=1,TRUE,FALSE)</formula>
    </cfRule>
  </conditionalFormatting>
  <conditionalFormatting sqref="O37:O42">
    <cfRule type="expression" dxfId="61" priority="9">
      <formula>IF(#REF!=1,TRUE,FALSE)</formula>
    </cfRule>
  </conditionalFormatting>
  <conditionalFormatting sqref="Q37:R39">
    <cfRule type="expression" dxfId="60" priority="8">
      <formula>IF(#REF!=1,TRUE,FALSE)</formula>
    </cfRule>
  </conditionalFormatting>
  <conditionalFormatting sqref="C5:J35">
    <cfRule type="expression" dxfId="59" priority="3">
      <formula>IF($L5=1,TRUE,FALSE)</formula>
    </cfRule>
  </conditionalFormatting>
  <conditionalFormatting sqref="E43:J73">
    <cfRule type="expression" dxfId="58" priority="2">
      <formula>IF($L43=1,TRUE,FALSE)</formula>
    </cfRule>
  </conditionalFormatting>
  <conditionalFormatting sqref="D43:D73">
    <cfRule type="expression" dxfId="57" priority="1">
      <formula>IF($L43=1,TRUE,FALSE)</formula>
    </cfRule>
  </conditionalFormatting>
  <pageMargins left="0.7" right="0.7" top="0.75" bottom="0.75" header="0.3" footer="0.3"/>
  <pageSetup paperSize="9" scale="52" orientation="portrait" horizontalDpi="1200" verticalDpi="1200" r:id="rId1"/>
  <colBreaks count="1" manualBreakCount="1">
    <brk id="15" max="1046908" man="1"/>
  </colBreaks>
  <ignoredErrors>
    <ignoredError sqref="F5:F14 F22:F34 F17:F1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Spinner 3">
              <controlPr defaultSize="0" autoPict="0">
                <anchor moveWithCells="1" sizeWithCells="1">
                  <from>
                    <xdr:col>4</xdr:col>
                    <xdr:colOff>487680</xdr:colOff>
                    <xdr:row>1</xdr:row>
                    <xdr:rowOff>0</xdr:rowOff>
                  </from>
                  <to>
                    <xdr:col>4</xdr:col>
                    <xdr:colOff>708660</xdr:colOff>
                    <xdr:row>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Spinner 4">
              <controlPr defaultSize="0" autoPict="0">
                <anchor moveWithCells="1" sizeWithCells="1">
                  <from>
                    <xdr:col>7</xdr:col>
                    <xdr:colOff>266700</xdr:colOff>
                    <xdr:row>0</xdr:row>
                    <xdr:rowOff>632460</xdr:rowOff>
                  </from>
                  <to>
                    <xdr:col>7</xdr:col>
                    <xdr:colOff>487680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Spinner 5">
              <controlPr defaultSize="0" autoPict="0">
                <anchor moveWithCells="1" sizeWithCells="1">
                  <from>
                    <xdr:col>9</xdr:col>
                    <xdr:colOff>289560</xdr:colOff>
                    <xdr:row>0</xdr:row>
                    <xdr:rowOff>617220</xdr:rowOff>
                  </from>
                  <to>
                    <xdr:col>9</xdr:col>
                    <xdr:colOff>480060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S2747"/>
  <sheetViews>
    <sheetView showGridLines="0" zoomScale="80" zoomScaleNormal="80" workbookViewId="0">
      <pane ySplit="1" topLeftCell="A46" activePane="bottomLeft" state="frozen"/>
      <selection pane="bottomLeft" activeCell="B66" sqref="B66"/>
    </sheetView>
  </sheetViews>
  <sheetFormatPr baseColWidth="10" defaultColWidth="11.44140625" defaultRowHeight="14.4" x14ac:dyDescent="0.3"/>
  <cols>
    <col min="1" max="1" width="18.5546875" style="114" customWidth="1"/>
    <col min="2" max="2" width="15" style="28" customWidth="1"/>
    <col min="3" max="3" width="16.88671875" style="28" customWidth="1"/>
    <col min="4" max="4" width="18.33203125" style="28" customWidth="1"/>
    <col min="5" max="5" width="16.88671875" style="28" customWidth="1"/>
    <col min="6" max="6" width="15.5546875" style="28" customWidth="1"/>
    <col min="7" max="7" width="16.88671875" style="35" customWidth="1"/>
    <col min="8" max="8" width="18.44140625" style="54" customWidth="1"/>
    <col min="9" max="9" width="16.44140625" style="30" customWidth="1"/>
    <col min="10" max="10" width="15.33203125" style="30" customWidth="1"/>
    <col min="11" max="11" width="14.5546875" style="30" customWidth="1"/>
    <col min="12" max="14" width="14.6640625" style="30" customWidth="1"/>
    <col min="15" max="15" width="13.5546875" style="30" hidden="1" customWidth="1"/>
    <col min="16" max="16" width="12.33203125" style="31" hidden="1" customWidth="1"/>
    <col min="17" max="17" width="3.88671875" customWidth="1"/>
  </cols>
  <sheetData>
    <row r="1" spans="1:18" ht="15" thickBot="1" x14ac:dyDescent="0.35">
      <c r="A1" s="113" t="s">
        <v>4</v>
      </c>
      <c r="B1" s="109" t="s">
        <v>78</v>
      </c>
      <c r="C1" s="109" t="s">
        <v>204</v>
      </c>
      <c r="D1" s="109" t="s">
        <v>203</v>
      </c>
      <c r="E1" s="109" t="s">
        <v>202</v>
      </c>
      <c r="F1" s="109" t="s">
        <v>205</v>
      </c>
      <c r="G1" s="102" t="s">
        <v>0</v>
      </c>
      <c r="H1" s="99" t="s">
        <v>209</v>
      </c>
      <c r="I1" s="100"/>
      <c r="J1" s="100"/>
    </row>
    <row r="2" spans="1:18" ht="15" customHeight="1" x14ac:dyDescent="0.3">
      <c r="A2" s="124"/>
      <c r="B2" s="2"/>
      <c r="C2" s="2"/>
      <c r="D2" s="2"/>
      <c r="E2" s="2"/>
      <c r="F2" s="2"/>
      <c r="G2" s="2"/>
      <c r="H2"/>
      <c r="J2" s="68"/>
      <c r="K2" s="28"/>
      <c r="L2" s="28"/>
      <c r="M2" s="28"/>
      <c r="N2" s="28"/>
      <c r="O2" s="28"/>
      <c r="P2" s="29"/>
      <c r="Q2" s="54"/>
      <c r="R2" s="30"/>
    </row>
    <row r="3" spans="1:18" ht="15" customHeight="1" x14ac:dyDescent="0.3">
      <c r="A3" s="124"/>
      <c r="B3" s="2"/>
      <c r="C3" s="2"/>
      <c r="D3" s="2"/>
      <c r="E3" s="2"/>
      <c r="F3" s="2"/>
      <c r="G3" s="2"/>
      <c r="H3"/>
      <c r="J3" s="68"/>
      <c r="K3" s="28"/>
      <c r="L3" s="28"/>
      <c r="M3" s="28"/>
      <c r="N3" s="28"/>
      <c r="O3" s="28"/>
      <c r="P3" s="29"/>
      <c r="Q3" s="54"/>
      <c r="R3" s="30"/>
    </row>
    <row r="4" spans="1:18" ht="15" customHeight="1" x14ac:dyDescent="0.3">
      <c r="A4" s="124"/>
      <c r="B4" s="2"/>
      <c r="C4" s="2"/>
      <c r="D4" s="2"/>
      <c r="E4" s="2"/>
      <c r="F4" s="2"/>
      <c r="G4" s="2"/>
      <c r="H4"/>
      <c r="J4" s="68"/>
      <c r="K4" s="28"/>
      <c r="L4" s="28"/>
      <c r="M4" s="28"/>
      <c r="N4" s="28"/>
      <c r="O4" s="28"/>
      <c r="P4" s="29"/>
      <c r="Q4" s="54"/>
      <c r="R4" s="30"/>
    </row>
    <row r="5" spans="1:18" ht="15" customHeight="1" x14ac:dyDescent="0.3">
      <c r="A5" s="124"/>
      <c r="B5" s="2"/>
      <c r="C5" s="2"/>
      <c r="D5" s="2"/>
      <c r="E5" s="2"/>
      <c r="F5" s="2"/>
      <c r="G5" s="2"/>
      <c r="H5"/>
      <c r="J5" s="68"/>
      <c r="K5" s="28"/>
      <c r="L5" s="28"/>
      <c r="M5" s="28"/>
      <c r="N5" s="28"/>
      <c r="O5" s="28"/>
      <c r="P5" s="29"/>
      <c r="Q5" s="54"/>
      <c r="R5" s="30"/>
    </row>
    <row r="6" spans="1:18" ht="15" customHeight="1" x14ac:dyDescent="0.3">
      <c r="A6" s="124"/>
      <c r="B6" s="2"/>
      <c r="C6" s="2"/>
      <c r="D6" s="2"/>
      <c r="E6" s="2"/>
      <c r="F6" s="2"/>
      <c r="G6" s="2"/>
      <c r="H6"/>
      <c r="J6" s="68"/>
      <c r="K6" s="28"/>
      <c r="L6" s="28"/>
      <c r="M6" s="28"/>
      <c r="N6" s="28"/>
      <c r="O6" s="28"/>
      <c r="P6" s="29"/>
      <c r="Q6" s="54"/>
      <c r="R6" s="30"/>
    </row>
    <row r="7" spans="1:18" ht="15" customHeight="1" x14ac:dyDescent="0.3">
      <c r="A7" s="124"/>
      <c r="B7" s="2"/>
      <c r="C7" s="2"/>
      <c r="D7" s="2"/>
      <c r="E7" s="2"/>
      <c r="F7" s="2"/>
      <c r="G7" s="2"/>
      <c r="H7"/>
      <c r="J7" s="68"/>
      <c r="K7" s="28"/>
      <c r="L7" s="28"/>
      <c r="M7" s="28"/>
      <c r="N7" s="28"/>
      <c r="O7" s="28"/>
      <c r="P7" s="29"/>
      <c r="Q7" s="54"/>
      <c r="R7" s="30"/>
    </row>
    <row r="8" spans="1:18" ht="15" customHeight="1" x14ac:dyDescent="0.3">
      <c r="A8" s="124"/>
      <c r="B8" s="2"/>
      <c r="C8" s="2"/>
      <c r="D8" s="2"/>
      <c r="E8" s="2"/>
      <c r="F8" s="2"/>
      <c r="G8" s="2"/>
      <c r="H8"/>
      <c r="J8" s="68"/>
      <c r="K8" s="28"/>
      <c r="L8" s="28"/>
      <c r="M8" s="28"/>
      <c r="N8" s="28"/>
      <c r="O8" s="28"/>
      <c r="P8" s="29"/>
      <c r="Q8" s="54"/>
      <c r="R8" s="30"/>
    </row>
    <row r="9" spans="1:18" ht="15" customHeight="1" x14ac:dyDescent="0.3">
      <c r="A9" s="124"/>
      <c r="B9" s="2"/>
      <c r="C9" s="2"/>
      <c r="D9" s="2"/>
      <c r="E9" s="2"/>
      <c r="F9" s="2"/>
      <c r="G9" s="2"/>
      <c r="H9"/>
      <c r="J9" s="68"/>
      <c r="K9" s="28"/>
      <c r="L9" s="28"/>
      <c r="M9" s="28"/>
      <c r="N9" s="28"/>
      <c r="O9" s="28"/>
      <c r="P9" s="29"/>
      <c r="Q9" s="54"/>
      <c r="R9" s="30"/>
    </row>
    <row r="10" spans="1:18" ht="15" customHeight="1" x14ac:dyDescent="0.3">
      <c r="A10" s="124"/>
      <c r="B10" s="2"/>
      <c r="C10" s="2"/>
      <c r="D10" s="2"/>
      <c r="E10" s="2"/>
      <c r="F10" s="2"/>
      <c r="G10" s="2"/>
      <c r="H10"/>
      <c r="J10" s="68"/>
      <c r="K10" s="28"/>
      <c r="L10" s="28"/>
      <c r="M10" s="28"/>
      <c r="N10" s="28"/>
      <c r="O10" s="28"/>
      <c r="P10" s="29"/>
      <c r="Q10" s="54"/>
      <c r="R10" s="30"/>
    </row>
    <row r="11" spans="1:18" ht="15" customHeight="1" x14ac:dyDescent="0.3">
      <c r="A11" s="124"/>
      <c r="B11" s="2"/>
      <c r="C11" s="2"/>
      <c r="D11" s="2"/>
      <c r="E11" s="2"/>
      <c r="F11" s="2"/>
      <c r="G11" s="2"/>
      <c r="H11"/>
      <c r="J11" s="68"/>
      <c r="K11" s="28"/>
      <c r="L11" s="28"/>
      <c r="M11" s="28"/>
      <c r="N11" s="28"/>
      <c r="O11" s="28"/>
      <c r="P11" s="29"/>
      <c r="Q11" s="54"/>
      <c r="R11" s="30"/>
    </row>
    <row r="12" spans="1:18" ht="15" customHeight="1" x14ac:dyDescent="0.3">
      <c r="A12" s="124"/>
      <c r="B12" s="2"/>
      <c r="C12" s="2"/>
      <c r="D12" s="2"/>
      <c r="E12" s="2"/>
      <c r="F12" s="2"/>
      <c r="G12" s="2"/>
      <c r="H12"/>
      <c r="J12" s="68"/>
      <c r="K12" s="28"/>
      <c r="L12" s="28"/>
      <c r="M12" s="28"/>
      <c r="N12" s="28"/>
      <c r="O12" s="28"/>
      <c r="P12" s="29"/>
      <c r="Q12" s="54"/>
      <c r="R12" s="30"/>
    </row>
    <row r="13" spans="1:18" ht="15" customHeight="1" x14ac:dyDescent="0.3">
      <c r="A13" s="124"/>
      <c r="B13" s="2"/>
      <c r="C13" s="2"/>
      <c r="D13" s="2"/>
      <c r="E13" s="2"/>
      <c r="F13" s="2"/>
      <c r="G13" s="2"/>
      <c r="H13"/>
      <c r="J13" s="68"/>
      <c r="K13" s="28"/>
      <c r="L13" s="28"/>
      <c r="M13" s="28"/>
      <c r="N13" s="28"/>
      <c r="O13" s="28"/>
      <c r="P13" s="29"/>
      <c r="Q13" s="54"/>
      <c r="R13" s="30"/>
    </row>
    <row r="14" spans="1:18" ht="15" customHeight="1" x14ac:dyDescent="0.3">
      <c r="A14" s="124"/>
      <c r="B14" s="2"/>
      <c r="C14" s="2"/>
      <c r="D14" s="2"/>
      <c r="E14" s="2"/>
      <c r="F14" s="2"/>
      <c r="G14" s="2"/>
      <c r="H14"/>
      <c r="J14" s="68"/>
      <c r="K14" s="28"/>
      <c r="L14" s="28"/>
      <c r="M14" s="28"/>
      <c r="N14" s="28"/>
      <c r="O14" s="28"/>
      <c r="P14" s="29"/>
      <c r="Q14" s="54"/>
      <c r="R14" s="30"/>
    </row>
    <row r="15" spans="1:18" ht="15" customHeight="1" x14ac:dyDescent="0.3">
      <c r="A15" s="124"/>
      <c r="B15" s="2"/>
      <c r="C15" s="2"/>
      <c r="D15" s="2"/>
      <c r="E15" s="2"/>
      <c r="F15" s="2"/>
      <c r="G15" s="2"/>
      <c r="H15"/>
      <c r="J15" s="68"/>
      <c r="K15" s="28"/>
      <c r="L15" s="28"/>
      <c r="M15" s="28"/>
      <c r="N15" s="28"/>
      <c r="O15" s="28"/>
      <c r="P15" s="29"/>
      <c r="Q15" s="54"/>
      <c r="R15" s="30"/>
    </row>
    <row r="16" spans="1:18" ht="15" customHeight="1" x14ac:dyDescent="0.3">
      <c r="A16" s="124"/>
      <c r="B16" s="2"/>
      <c r="C16" s="2"/>
      <c r="D16" s="2"/>
      <c r="E16" s="2"/>
      <c r="F16" s="2"/>
      <c r="G16" s="2"/>
      <c r="H16"/>
      <c r="J16" s="68"/>
      <c r="K16" s="28"/>
      <c r="L16" s="28"/>
      <c r="M16" s="28"/>
      <c r="N16" s="28"/>
      <c r="O16" s="28"/>
      <c r="P16" s="29"/>
      <c r="Q16" s="54"/>
      <c r="R16" s="30"/>
    </row>
    <row r="17" spans="1:18" ht="15" customHeight="1" x14ac:dyDescent="0.3">
      <c r="A17" s="124"/>
      <c r="B17" s="2"/>
      <c r="C17" s="2"/>
      <c r="D17" s="2"/>
      <c r="E17" s="2"/>
      <c r="F17" s="2"/>
      <c r="G17" s="2"/>
      <c r="H17"/>
      <c r="J17" s="68"/>
      <c r="K17" s="28"/>
      <c r="L17" s="28"/>
      <c r="M17" s="28"/>
      <c r="N17" s="28"/>
      <c r="O17" s="28"/>
      <c r="P17" s="29"/>
      <c r="Q17" s="54"/>
      <c r="R17" s="30"/>
    </row>
    <row r="18" spans="1:18" ht="15" customHeight="1" x14ac:dyDescent="0.3">
      <c r="A18" s="124"/>
      <c r="B18" s="2"/>
      <c r="C18" s="2"/>
      <c r="D18" s="2"/>
      <c r="E18" s="2"/>
      <c r="F18" s="2"/>
      <c r="G18" s="2"/>
      <c r="H18"/>
      <c r="J18" s="68"/>
      <c r="K18" s="28"/>
      <c r="L18" s="28"/>
      <c r="M18" s="28"/>
      <c r="N18" s="28"/>
      <c r="O18" s="28"/>
      <c r="P18" s="29"/>
      <c r="Q18" s="54"/>
      <c r="R18" s="30"/>
    </row>
    <row r="19" spans="1:18" ht="15" customHeight="1" x14ac:dyDescent="0.3">
      <c r="A19" s="124"/>
      <c r="B19" s="2"/>
      <c r="C19" s="2"/>
      <c r="D19" s="2"/>
      <c r="E19" s="2"/>
      <c r="F19" s="2"/>
      <c r="G19" s="2"/>
      <c r="H19"/>
      <c r="J19" s="68"/>
      <c r="K19" s="28"/>
      <c r="L19" s="28"/>
      <c r="M19" s="28"/>
      <c r="N19" s="28"/>
      <c r="O19" s="28"/>
      <c r="P19" s="29"/>
      <c r="Q19" s="54"/>
      <c r="R19" s="30"/>
    </row>
    <row r="20" spans="1:18" ht="15" customHeight="1" x14ac:dyDescent="0.3">
      <c r="A20" s="124"/>
      <c r="B20" s="2"/>
      <c r="C20" s="2"/>
      <c r="D20" s="2"/>
      <c r="E20" s="2"/>
      <c r="F20" s="2"/>
      <c r="G20" s="2"/>
      <c r="H20"/>
      <c r="J20" s="68"/>
      <c r="K20" s="28"/>
      <c r="L20" s="28"/>
      <c r="M20" s="28"/>
      <c r="N20" s="28"/>
      <c r="O20" s="28"/>
      <c r="P20" s="29"/>
      <c r="Q20" s="54"/>
      <c r="R20" s="30"/>
    </row>
    <row r="21" spans="1:18" ht="15" customHeight="1" x14ac:dyDescent="0.3">
      <c r="A21" s="124"/>
      <c r="B21" s="2"/>
      <c r="C21" s="2"/>
      <c r="D21" s="2"/>
      <c r="E21" s="2"/>
      <c r="F21" s="2"/>
      <c r="G21" s="2"/>
      <c r="H21"/>
      <c r="J21" s="68"/>
      <c r="K21" s="28"/>
      <c r="L21" s="28"/>
      <c r="M21" s="28"/>
      <c r="N21" s="28"/>
      <c r="O21" s="28"/>
      <c r="P21" s="29"/>
      <c r="Q21" s="54"/>
      <c r="R21" s="30"/>
    </row>
    <row r="22" spans="1:18" ht="15" customHeight="1" x14ac:dyDescent="0.3">
      <c r="A22" s="124"/>
      <c r="B22" s="2"/>
      <c r="C22" s="2"/>
      <c r="D22" s="2"/>
      <c r="E22" s="2"/>
      <c r="F22" s="2"/>
      <c r="G22" s="2"/>
      <c r="H22"/>
      <c r="J22" s="68"/>
      <c r="K22" s="28"/>
      <c r="L22" s="28"/>
      <c r="M22" s="28"/>
      <c r="N22" s="28"/>
      <c r="O22" s="28"/>
      <c r="P22" s="29"/>
      <c r="Q22" s="54"/>
      <c r="R22" s="30"/>
    </row>
    <row r="23" spans="1:18" ht="15" customHeight="1" x14ac:dyDescent="0.3">
      <c r="A23" s="124"/>
      <c r="B23" s="2"/>
      <c r="C23" s="2"/>
      <c r="D23" s="2"/>
      <c r="E23" s="2"/>
      <c r="F23" s="2"/>
      <c r="G23" s="2"/>
      <c r="H23"/>
      <c r="J23" s="68"/>
      <c r="K23" s="28"/>
      <c r="L23" s="28"/>
      <c r="M23" s="28"/>
      <c r="N23" s="28"/>
      <c r="O23" s="28"/>
      <c r="P23" s="29"/>
      <c r="Q23" s="54"/>
      <c r="R23" s="30"/>
    </row>
    <row r="24" spans="1:18" ht="15" customHeight="1" x14ac:dyDescent="0.3">
      <c r="A24" s="124"/>
      <c r="B24" s="2"/>
      <c r="C24" s="2"/>
      <c r="D24" s="2"/>
      <c r="E24" s="2"/>
      <c r="F24" s="2"/>
      <c r="G24" s="2"/>
      <c r="H24"/>
      <c r="J24" s="68"/>
      <c r="K24" s="28"/>
      <c r="L24" s="28"/>
      <c r="M24" s="28"/>
      <c r="N24" s="28"/>
      <c r="O24" s="28"/>
      <c r="P24" s="29"/>
      <c r="Q24" s="54"/>
      <c r="R24" s="30"/>
    </row>
    <row r="25" spans="1:18" ht="15" customHeight="1" x14ac:dyDescent="0.3">
      <c r="A25" s="124"/>
      <c r="B25" s="2"/>
      <c r="C25" s="2"/>
      <c r="D25" s="2"/>
      <c r="E25" s="2"/>
      <c r="F25" s="2"/>
      <c r="G25" s="2"/>
      <c r="H25"/>
      <c r="J25" s="68"/>
      <c r="K25" s="28"/>
      <c r="L25" s="28"/>
      <c r="M25" s="28"/>
      <c r="N25" s="28"/>
      <c r="O25" s="28"/>
      <c r="P25" s="29"/>
      <c r="Q25" s="54"/>
      <c r="R25" s="30"/>
    </row>
    <row r="26" spans="1:18" ht="15" customHeight="1" x14ac:dyDescent="0.3">
      <c r="A26" s="124"/>
      <c r="B26" s="2"/>
      <c r="C26" s="2"/>
      <c r="D26" s="2"/>
      <c r="E26" s="2"/>
      <c r="F26" s="2"/>
      <c r="G26" s="2"/>
      <c r="H26"/>
      <c r="J26" s="68"/>
      <c r="K26" s="28"/>
      <c r="L26" s="28"/>
      <c r="M26" s="28"/>
      <c r="N26" s="28"/>
      <c r="O26" s="28"/>
      <c r="P26" s="29"/>
      <c r="Q26" s="54"/>
      <c r="R26" s="30"/>
    </row>
    <row r="27" spans="1:18" ht="15" customHeight="1" x14ac:dyDescent="0.3">
      <c r="A27" s="124"/>
      <c r="B27" s="2"/>
      <c r="C27" s="2"/>
      <c r="D27" s="2"/>
      <c r="E27" s="2"/>
      <c r="F27" s="2"/>
      <c r="G27" s="2"/>
      <c r="H27"/>
      <c r="J27" s="68"/>
      <c r="K27" s="28"/>
      <c r="L27" s="28"/>
      <c r="M27" s="28"/>
      <c r="N27" s="28"/>
      <c r="O27" s="28"/>
      <c r="P27" s="29"/>
      <c r="Q27" s="54"/>
      <c r="R27" s="30"/>
    </row>
    <row r="28" spans="1:18" ht="15" customHeight="1" x14ac:dyDescent="0.3">
      <c r="A28" s="124"/>
      <c r="B28" s="2"/>
      <c r="C28" s="2"/>
      <c r="D28" s="2"/>
      <c r="E28" s="2"/>
      <c r="F28" s="2"/>
      <c r="G28" s="2"/>
      <c r="H28"/>
      <c r="J28" s="68"/>
      <c r="K28" s="28"/>
      <c r="L28" s="28"/>
      <c r="M28" s="28"/>
      <c r="N28" s="28"/>
      <c r="O28" s="28"/>
      <c r="P28" s="29"/>
      <c r="Q28" s="54"/>
      <c r="R28" s="30"/>
    </row>
    <row r="29" spans="1:18" ht="15" customHeight="1" x14ac:dyDescent="0.3">
      <c r="A29" s="124"/>
      <c r="B29" s="2"/>
      <c r="C29" s="2"/>
      <c r="D29" s="2"/>
      <c r="E29" s="2"/>
      <c r="F29" s="2"/>
      <c r="G29" s="2"/>
      <c r="H29"/>
      <c r="J29" s="68"/>
      <c r="K29" s="28"/>
      <c r="L29" s="28"/>
      <c r="M29" s="28"/>
      <c r="N29" s="28"/>
      <c r="O29" s="28"/>
      <c r="P29" s="29"/>
      <c r="Q29" s="54"/>
      <c r="R29" s="30"/>
    </row>
    <row r="30" spans="1:18" ht="15" customHeight="1" x14ac:dyDescent="0.3">
      <c r="A30" s="124"/>
      <c r="B30" s="2"/>
      <c r="C30" s="2"/>
      <c r="D30" s="2"/>
      <c r="E30" s="2"/>
      <c r="F30" s="2"/>
      <c r="G30" s="2"/>
      <c r="H30"/>
      <c r="J30" s="68"/>
      <c r="K30" s="28"/>
      <c r="L30" s="28"/>
      <c r="M30" s="28"/>
      <c r="N30" s="28"/>
      <c r="O30" s="28"/>
      <c r="P30" s="29"/>
      <c r="Q30" s="54"/>
      <c r="R30" s="30"/>
    </row>
    <row r="31" spans="1:18" ht="15" customHeight="1" x14ac:dyDescent="0.3">
      <c r="A31" s="124"/>
      <c r="B31" s="2"/>
      <c r="C31" s="2"/>
      <c r="D31" s="2"/>
      <c r="E31" s="2"/>
      <c r="F31" s="2"/>
      <c r="G31" s="2"/>
      <c r="H31"/>
      <c r="J31" s="68"/>
      <c r="K31" s="28"/>
      <c r="L31" s="28"/>
      <c r="M31" s="28"/>
      <c r="N31" s="28"/>
      <c r="O31" s="28"/>
      <c r="P31" s="29"/>
      <c r="Q31" s="54"/>
      <c r="R31" s="30"/>
    </row>
    <row r="32" spans="1:18" ht="15" customHeight="1" x14ac:dyDescent="0.3">
      <c r="A32" s="124"/>
      <c r="B32" s="2"/>
      <c r="C32" s="2"/>
      <c r="D32" s="2"/>
      <c r="E32" s="2"/>
      <c r="F32" s="2"/>
      <c r="G32" s="2"/>
      <c r="H32"/>
      <c r="J32" s="68"/>
      <c r="K32" s="28"/>
      <c r="L32" s="28"/>
      <c r="M32" s="28"/>
      <c r="N32" s="28"/>
      <c r="O32" s="28"/>
      <c r="P32" s="29"/>
      <c r="Q32" s="54"/>
      <c r="R32" s="30"/>
    </row>
    <row r="33" spans="1:18" ht="15" customHeight="1" x14ac:dyDescent="0.3">
      <c r="A33" s="124"/>
      <c r="B33" s="2"/>
      <c r="C33" s="2"/>
      <c r="D33" s="2"/>
      <c r="E33" s="2"/>
      <c r="F33" s="2"/>
      <c r="G33" s="2"/>
      <c r="H33"/>
      <c r="J33" s="68"/>
      <c r="K33" s="28"/>
      <c r="L33" s="28"/>
      <c r="M33" s="28"/>
      <c r="N33" s="28"/>
      <c r="O33" s="28"/>
      <c r="P33" s="29"/>
      <c r="Q33" s="54"/>
      <c r="R33" s="30"/>
    </row>
    <row r="34" spans="1:18" ht="15" customHeight="1" x14ac:dyDescent="0.3">
      <c r="A34" s="124"/>
      <c r="B34" s="2"/>
      <c r="C34" s="2"/>
      <c r="D34" s="2"/>
      <c r="E34" s="2"/>
      <c r="F34" s="2"/>
      <c r="G34" s="2"/>
      <c r="H34"/>
      <c r="J34" s="68"/>
      <c r="K34" s="28"/>
      <c r="L34" s="28"/>
      <c r="M34" s="28"/>
      <c r="N34" s="28"/>
      <c r="O34" s="28"/>
      <c r="P34" s="29"/>
      <c r="Q34" s="54"/>
      <c r="R34" s="30"/>
    </row>
    <row r="35" spans="1:18" ht="15" customHeight="1" x14ac:dyDescent="0.3">
      <c r="A35" s="124"/>
      <c r="B35" s="2"/>
      <c r="C35" s="2"/>
      <c r="D35" s="2"/>
      <c r="E35" s="2"/>
      <c r="F35" s="2"/>
      <c r="G35" s="2"/>
      <c r="H35"/>
      <c r="J35" s="68"/>
      <c r="K35" s="28"/>
      <c r="L35" s="28"/>
      <c r="M35" s="28"/>
      <c r="N35" s="28"/>
      <c r="O35" s="28"/>
      <c r="P35" s="29"/>
      <c r="Q35" s="54"/>
      <c r="R35" s="30"/>
    </row>
    <row r="36" spans="1:18" ht="15" customHeight="1" x14ac:dyDescent="0.3">
      <c r="A36" s="124"/>
      <c r="B36" s="2"/>
      <c r="C36" s="2"/>
      <c r="D36" s="2"/>
      <c r="E36" s="2"/>
      <c r="F36" s="2"/>
      <c r="G36" s="2"/>
      <c r="H36"/>
      <c r="J36" s="68"/>
      <c r="K36" s="28"/>
      <c r="L36" s="28"/>
      <c r="M36" s="28"/>
      <c r="N36" s="28"/>
      <c r="O36" s="28"/>
      <c r="P36" s="29"/>
      <c r="Q36" s="54"/>
      <c r="R36" s="30"/>
    </row>
    <row r="37" spans="1:18" ht="15" customHeight="1" x14ac:dyDescent="0.3">
      <c r="A37" s="124">
        <v>45809</v>
      </c>
      <c r="B37" s="2"/>
      <c r="C37" s="2">
        <f>B37</f>
        <v>0</v>
      </c>
      <c r="D37" s="2">
        <v>15444</v>
      </c>
      <c r="E37" s="2"/>
      <c r="F37" s="2">
        <f>D37+E37</f>
        <v>15444</v>
      </c>
      <c r="G37" s="2">
        <f>C37-F37</f>
        <v>-15444</v>
      </c>
      <c r="H37"/>
      <c r="J37" s="68"/>
      <c r="K37" s="28"/>
      <c r="L37" s="28"/>
      <c r="M37" s="28"/>
      <c r="N37" s="28"/>
      <c r="O37" s="28"/>
      <c r="P37" s="29"/>
      <c r="Q37" s="54"/>
      <c r="R37" s="30"/>
    </row>
    <row r="38" spans="1:18" ht="15" customHeight="1" x14ac:dyDescent="0.3">
      <c r="A38" s="124">
        <v>45810</v>
      </c>
      <c r="B38" s="2"/>
      <c r="C38" s="2">
        <f t="shared" ref="C38:C66" si="0">B38</f>
        <v>0</v>
      </c>
      <c r="D38" s="2">
        <v>12490</v>
      </c>
      <c r="E38" s="2"/>
      <c r="F38" s="2">
        <f t="shared" ref="F38:F66" si="1">D38+E38</f>
        <v>12490</v>
      </c>
      <c r="G38" s="2">
        <f t="shared" ref="G38:G67" si="2">C38-F38</f>
        <v>-12490</v>
      </c>
      <c r="H38"/>
      <c r="J38" s="68"/>
      <c r="K38" s="28"/>
      <c r="L38" s="28"/>
      <c r="M38" s="28"/>
      <c r="N38" s="28"/>
      <c r="O38" s="28"/>
      <c r="P38" s="29"/>
      <c r="Q38" s="54"/>
      <c r="R38" s="30"/>
    </row>
    <row r="39" spans="1:18" ht="15" customHeight="1" x14ac:dyDescent="0.3">
      <c r="A39" s="124">
        <v>45811</v>
      </c>
      <c r="B39" s="2">
        <v>98600</v>
      </c>
      <c r="C39" s="2">
        <f t="shared" si="0"/>
        <v>98600</v>
      </c>
      <c r="D39" s="2"/>
      <c r="E39" s="2">
        <v>32580</v>
      </c>
      <c r="F39" s="2">
        <f t="shared" si="1"/>
        <v>32580</v>
      </c>
      <c r="G39" s="2">
        <f t="shared" si="2"/>
        <v>66020</v>
      </c>
      <c r="H39"/>
      <c r="J39" s="68"/>
      <c r="K39" s="28"/>
      <c r="L39" s="28"/>
      <c r="M39" s="28"/>
      <c r="N39" s="28"/>
      <c r="O39" s="28"/>
      <c r="P39" s="29"/>
      <c r="Q39" s="54"/>
      <c r="R39" s="30"/>
    </row>
    <row r="40" spans="1:18" ht="15" customHeight="1" x14ac:dyDescent="0.3">
      <c r="A40" s="124">
        <v>45812</v>
      </c>
      <c r="B40" s="2">
        <v>34000</v>
      </c>
      <c r="C40" s="2">
        <f t="shared" si="0"/>
        <v>34000</v>
      </c>
      <c r="D40" s="2"/>
      <c r="E40" s="2"/>
      <c r="F40" s="2">
        <f t="shared" si="1"/>
        <v>0</v>
      </c>
      <c r="G40" s="2">
        <f t="shared" si="2"/>
        <v>34000</v>
      </c>
      <c r="H40"/>
      <c r="J40" s="68"/>
      <c r="K40" s="28"/>
      <c r="L40" s="28"/>
      <c r="M40" s="28"/>
      <c r="N40" s="28"/>
      <c r="O40" s="28"/>
      <c r="P40" s="29"/>
      <c r="Q40" s="54"/>
      <c r="R40" s="30"/>
    </row>
    <row r="41" spans="1:18" ht="15" customHeight="1" x14ac:dyDescent="0.3">
      <c r="A41" s="124">
        <v>45813</v>
      </c>
      <c r="B41" s="2"/>
      <c r="C41" s="2">
        <f t="shared" si="0"/>
        <v>0</v>
      </c>
      <c r="D41" s="2">
        <v>838000</v>
      </c>
      <c r="E41" s="2"/>
      <c r="F41" s="2">
        <f t="shared" si="1"/>
        <v>838000</v>
      </c>
      <c r="G41" s="2">
        <f t="shared" si="2"/>
        <v>-838000</v>
      </c>
      <c r="H41"/>
      <c r="J41" s="68"/>
      <c r="K41" s="28"/>
      <c r="L41" s="28"/>
      <c r="M41" s="28"/>
      <c r="N41" s="28"/>
      <c r="O41" s="28"/>
      <c r="P41" s="29"/>
      <c r="Q41" s="54"/>
      <c r="R41" s="30"/>
    </row>
    <row r="42" spans="1:18" ht="15" customHeight="1" x14ac:dyDescent="0.3">
      <c r="A42" s="124">
        <v>45814</v>
      </c>
      <c r="B42" s="2">
        <v>200807</v>
      </c>
      <c r="C42" s="2">
        <f t="shared" si="0"/>
        <v>200807</v>
      </c>
      <c r="D42" s="2">
        <v>35000</v>
      </c>
      <c r="E42" s="2">
        <v>21550</v>
      </c>
      <c r="F42" s="2">
        <f t="shared" si="1"/>
        <v>56550</v>
      </c>
      <c r="G42" s="2">
        <f t="shared" si="2"/>
        <v>144257</v>
      </c>
      <c r="H42"/>
      <c r="J42" s="68"/>
      <c r="K42" s="28"/>
      <c r="L42" s="28"/>
      <c r="M42" s="28"/>
      <c r="N42" s="28"/>
      <c r="O42" s="28"/>
      <c r="P42" s="29"/>
      <c r="Q42" s="54"/>
      <c r="R42" s="30"/>
    </row>
    <row r="43" spans="1:18" ht="15" customHeight="1" x14ac:dyDescent="0.3">
      <c r="A43" s="124">
        <v>45815</v>
      </c>
      <c r="B43" s="2">
        <v>12000</v>
      </c>
      <c r="C43" s="2">
        <f t="shared" si="0"/>
        <v>12000</v>
      </c>
      <c r="D43" s="2"/>
      <c r="E43" s="2"/>
      <c r="F43" s="2">
        <f t="shared" si="1"/>
        <v>0</v>
      </c>
      <c r="G43" s="2">
        <f t="shared" si="2"/>
        <v>12000</v>
      </c>
      <c r="H43"/>
      <c r="J43" s="68"/>
      <c r="K43" s="28"/>
      <c r="L43" s="28"/>
      <c r="M43" s="28"/>
      <c r="N43" s="28"/>
      <c r="O43" s="28"/>
      <c r="P43" s="29"/>
      <c r="Q43" s="54"/>
      <c r="R43" s="30"/>
    </row>
    <row r="44" spans="1:18" ht="15" customHeight="1" x14ac:dyDescent="0.3">
      <c r="A44" s="124">
        <v>45816</v>
      </c>
      <c r="B44" s="2"/>
      <c r="C44" s="2">
        <f t="shared" si="0"/>
        <v>0</v>
      </c>
      <c r="D44" s="2"/>
      <c r="E44" s="2">
        <v>21857</v>
      </c>
      <c r="F44" s="2">
        <f t="shared" si="1"/>
        <v>21857</v>
      </c>
      <c r="G44" s="2">
        <f t="shared" si="2"/>
        <v>-21857</v>
      </c>
      <c r="H44"/>
      <c r="J44" s="68"/>
      <c r="K44" s="28"/>
      <c r="L44" s="28"/>
      <c r="M44" s="28"/>
      <c r="N44" s="28"/>
      <c r="O44" s="28"/>
      <c r="P44" s="29"/>
      <c r="Q44" s="54"/>
      <c r="R44" s="30"/>
    </row>
    <row r="45" spans="1:18" ht="15" customHeight="1" x14ac:dyDescent="0.3">
      <c r="A45" s="124">
        <v>45817</v>
      </c>
      <c r="B45" s="2"/>
      <c r="C45" s="2">
        <f t="shared" si="0"/>
        <v>0</v>
      </c>
      <c r="D45" s="2">
        <v>1600</v>
      </c>
      <c r="E45" s="2">
        <v>77950</v>
      </c>
      <c r="F45" s="2">
        <f t="shared" si="1"/>
        <v>79550</v>
      </c>
      <c r="G45" s="2">
        <f t="shared" si="2"/>
        <v>-79550</v>
      </c>
      <c r="H45"/>
      <c r="J45" s="68"/>
      <c r="K45" s="28"/>
      <c r="L45" s="28"/>
      <c r="M45" s="28"/>
      <c r="N45" s="28"/>
      <c r="O45" s="28"/>
      <c r="P45" s="29"/>
      <c r="Q45" s="54"/>
      <c r="R45" s="30"/>
    </row>
    <row r="46" spans="1:18" ht="15" customHeight="1" x14ac:dyDescent="0.3">
      <c r="A46" s="124">
        <v>45818</v>
      </c>
      <c r="B46" s="2"/>
      <c r="C46" s="2">
        <f t="shared" si="0"/>
        <v>0</v>
      </c>
      <c r="D46" s="2">
        <v>400000</v>
      </c>
      <c r="E46" s="2"/>
      <c r="F46" s="2">
        <f t="shared" si="1"/>
        <v>400000</v>
      </c>
      <c r="G46" s="2">
        <f t="shared" si="2"/>
        <v>-400000</v>
      </c>
      <c r="H46"/>
      <c r="J46" s="68"/>
      <c r="K46" s="28"/>
      <c r="L46" s="28"/>
      <c r="M46" s="28"/>
      <c r="N46" s="28"/>
      <c r="O46" s="28"/>
      <c r="P46" s="29"/>
      <c r="Q46" s="54"/>
      <c r="R46" s="30"/>
    </row>
    <row r="47" spans="1:18" ht="15" customHeight="1" x14ac:dyDescent="0.3">
      <c r="A47" s="124">
        <v>45819</v>
      </c>
      <c r="B47" s="2">
        <v>49800</v>
      </c>
      <c r="C47" s="2">
        <f t="shared" si="0"/>
        <v>49800</v>
      </c>
      <c r="D47" s="2">
        <v>15000</v>
      </c>
      <c r="E47" s="2">
        <v>22030</v>
      </c>
      <c r="F47" s="2">
        <f t="shared" si="1"/>
        <v>37030</v>
      </c>
      <c r="G47" s="2">
        <f t="shared" si="2"/>
        <v>12770</v>
      </c>
      <c r="H47"/>
      <c r="J47" s="68"/>
      <c r="K47" s="28"/>
      <c r="L47" s="28"/>
      <c r="M47" s="28"/>
      <c r="N47" s="28"/>
      <c r="O47" s="28"/>
      <c r="P47" s="29"/>
      <c r="Q47" s="54"/>
      <c r="R47" s="30"/>
    </row>
    <row r="48" spans="1:18" ht="15" customHeight="1" x14ac:dyDescent="0.3">
      <c r="A48" s="124">
        <v>45820</v>
      </c>
      <c r="B48" s="2">
        <v>77500</v>
      </c>
      <c r="C48" s="2">
        <f t="shared" si="0"/>
        <v>77500</v>
      </c>
      <c r="D48" s="2">
        <v>6000</v>
      </c>
      <c r="E48" s="2"/>
      <c r="F48" s="2">
        <f t="shared" si="1"/>
        <v>6000</v>
      </c>
      <c r="G48" s="2">
        <f t="shared" si="2"/>
        <v>71500</v>
      </c>
      <c r="H48"/>
      <c r="J48" s="68"/>
      <c r="K48" s="28"/>
      <c r="L48" s="28"/>
      <c r="M48" s="28"/>
      <c r="N48" s="28"/>
      <c r="O48" s="28"/>
      <c r="P48" s="29"/>
      <c r="Q48" s="54"/>
      <c r="R48" s="30"/>
    </row>
    <row r="49" spans="1:18" ht="15" customHeight="1" x14ac:dyDescent="0.3">
      <c r="A49" s="124">
        <v>45821</v>
      </c>
      <c r="B49" s="2">
        <v>66800</v>
      </c>
      <c r="C49" s="2">
        <f t="shared" si="0"/>
        <v>66800</v>
      </c>
      <c r="D49" s="2">
        <v>7990</v>
      </c>
      <c r="E49" s="2">
        <v>119378</v>
      </c>
      <c r="F49" s="2">
        <f t="shared" si="1"/>
        <v>127368</v>
      </c>
      <c r="G49" s="2">
        <f t="shared" si="2"/>
        <v>-60568</v>
      </c>
      <c r="H49"/>
      <c r="J49" s="68"/>
      <c r="K49" s="28"/>
      <c r="L49" s="28"/>
      <c r="M49" s="28"/>
      <c r="N49" s="28"/>
      <c r="O49" s="28"/>
      <c r="P49" s="29"/>
      <c r="Q49" s="54"/>
      <c r="R49" s="30"/>
    </row>
    <row r="50" spans="1:18" ht="15" customHeight="1" x14ac:dyDescent="0.3">
      <c r="A50" s="124">
        <v>45822</v>
      </c>
      <c r="B50" s="2">
        <v>128640</v>
      </c>
      <c r="C50" s="2">
        <f t="shared" si="0"/>
        <v>128640</v>
      </c>
      <c r="D50" s="2">
        <v>11500</v>
      </c>
      <c r="E50" s="2">
        <v>18200</v>
      </c>
      <c r="F50" s="2">
        <f t="shared" si="1"/>
        <v>29700</v>
      </c>
      <c r="G50" s="2">
        <f t="shared" si="2"/>
        <v>98940</v>
      </c>
      <c r="H50"/>
      <c r="J50" s="68"/>
      <c r="K50" s="28"/>
      <c r="L50" s="28"/>
      <c r="M50" s="28"/>
      <c r="N50" s="28"/>
      <c r="O50" s="28"/>
      <c r="P50" s="29"/>
      <c r="Q50" s="54"/>
      <c r="R50" s="30"/>
    </row>
    <row r="51" spans="1:18" ht="15" customHeight="1" x14ac:dyDescent="0.3">
      <c r="A51" s="124">
        <v>45823</v>
      </c>
      <c r="B51" s="2">
        <v>374000</v>
      </c>
      <c r="C51" s="2">
        <f t="shared" si="0"/>
        <v>374000</v>
      </c>
      <c r="D51" s="2">
        <v>224200</v>
      </c>
      <c r="E51" s="2"/>
      <c r="F51" s="2">
        <f t="shared" si="1"/>
        <v>224200</v>
      </c>
      <c r="G51" s="2">
        <f t="shared" si="2"/>
        <v>149800</v>
      </c>
      <c r="H51"/>
      <c r="J51" s="68"/>
      <c r="K51" s="28"/>
      <c r="L51" s="28"/>
      <c r="M51" s="28"/>
      <c r="N51" s="28"/>
      <c r="O51" s="28"/>
      <c r="P51" s="29"/>
      <c r="Q51" s="54"/>
      <c r="R51" s="30"/>
    </row>
    <row r="52" spans="1:18" ht="15" customHeight="1" x14ac:dyDescent="0.3">
      <c r="A52" s="124">
        <v>45824</v>
      </c>
      <c r="B52" s="2">
        <v>18000</v>
      </c>
      <c r="C52" s="2">
        <f t="shared" si="0"/>
        <v>18000</v>
      </c>
      <c r="D52" s="2">
        <v>20000</v>
      </c>
      <c r="E52" s="2">
        <v>48879</v>
      </c>
      <c r="F52" s="2">
        <f t="shared" si="1"/>
        <v>68879</v>
      </c>
      <c r="G52" s="2">
        <f t="shared" si="2"/>
        <v>-50879</v>
      </c>
      <c r="H52"/>
      <c r="J52" s="68"/>
      <c r="K52" s="28"/>
      <c r="L52" s="28"/>
      <c r="M52" s="28"/>
      <c r="N52" s="28"/>
      <c r="O52" s="28"/>
      <c r="P52" s="29"/>
      <c r="Q52" s="54"/>
      <c r="R52" s="30"/>
    </row>
    <row r="53" spans="1:18" ht="15" customHeight="1" x14ac:dyDescent="0.3">
      <c r="A53" s="124">
        <v>45825</v>
      </c>
      <c r="B53" s="2">
        <f>43850+180000</f>
        <v>223850</v>
      </c>
      <c r="C53" s="2">
        <f t="shared" si="0"/>
        <v>223850</v>
      </c>
      <c r="D53" s="2"/>
      <c r="E53" s="2">
        <f>9773+81570</f>
        <v>91343</v>
      </c>
      <c r="F53" s="2">
        <f t="shared" si="1"/>
        <v>91343</v>
      </c>
      <c r="G53" s="2">
        <f t="shared" si="2"/>
        <v>132507</v>
      </c>
      <c r="H53"/>
      <c r="J53" s="68"/>
      <c r="K53" s="28"/>
      <c r="L53" s="28"/>
      <c r="M53" s="28"/>
      <c r="N53" s="28"/>
      <c r="O53" s="28"/>
      <c r="P53" s="29"/>
      <c r="Q53" s="54"/>
      <c r="R53" s="30"/>
    </row>
    <row r="54" spans="1:18" ht="15" customHeight="1" x14ac:dyDescent="0.3">
      <c r="A54" s="124">
        <v>45826</v>
      </c>
      <c r="B54" s="2">
        <v>213360</v>
      </c>
      <c r="C54" s="2">
        <f t="shared" si="0"/>
        <v>213360</v>
      </c>
      <c r="D54" s="2">
        <f>11780+4000</f>
        <v>15780</v>
      </c>
      <c r="E54" s="2">
        <v>10770</v>
      </c>
      <c r="F54" s="2">
        <f t="shared" si="1"/>
        <v>26550</v>
      </c>
      <c r="G54" s="2">
        <f t="shared" si="2"/>
        <v>186810</v>
      </c>
      <c r="H54"/>
      <c r="J54" s="68"/>
      <c r="K54" s="28"/>
      <c r="L54" s="28"/>
      <c r="M54" s="28"/>
      <c r="N54" s="28"/>
      <c r="O54" s="28"/>
      <c r="P54" s="29"/>
      <c r="Q54" s="54"/>
      <c r="R54" s="30"/>
    </row>
    <row r="55" spans="1:18" ht="15" customHeight="1" x14ac:dyDescent="0.3">
      <c r="A55" s="124">
        <v>45827</v>
      </c>
      <c r="B55" s="2">
        <v>60050</v>
      </c>
      <c r="C55" s="2">
        <f t="shared" si="0"/>
        <v>60050</v>
      </c>
      <c r="D55" s="2"/>
      <c r="E55" s="2">
        <v>77734</v>
      </c>
      <c r="F55" s="2">
        <f t="shared" si="1"/>
        <v>77734</v>
      </c>
      <c r="G55" s="2">
        <f t="shared" si="2"/>
        <v>-17684</v>
      </c>
      <c r="H55"/>
      <c r="J55" s="68"/>
      <c r="K55" s="28"/>
      <c r="L55" s="28"/>
      <c r="M55" s="28"/>
      <c r="N55" s="28"/>
      <c r="O55" s="28"/>
      <c r="P55" s="29"/>
      <c r="Q55" s="54"/>
      <c r="R55" s="30"/>
    </row>
    <row r="56" spans="1:18" ht="15" customHeight="1" x14ac:dyDescent="0.3">
      <c r="A56" s="124">
        <v>45828</v>
      </c>
      <c r="B56" s="2">
        <v>10000</v>
      </c>
      <c r="C56" s="2">
        <f t="shared" si="0"/>
        <v>10000</v>
      </c>
      <c r="D56" s="2"/>
      <c r="E56" s="2"/>
      <c r="F56" s="2">
        <f t="shared" si="1"/>
        <v>0</v>
      </c>
      <c r="G56" s="2">
        <f t="shared" si="2"/>
        <v>10000</v>
      </c>
      <c r="H56"/>
      <c r="J56" s="68"/>
      <c r="K56" s="28"/>
      <c r="L56" s="28"/>
      <c r="M56" s="28"/>
      <c r="N56" s="28"/>
      <c r="O56" s="28"/>
      <c r="P56" s="29"/>
      <c r="Q56" s="54"/>
      <c r="R56" s="30"/>
    </row>
    <row r="57" spans="1:18" ht="15" customHeight="1" x14ac:dyDescent="0.3">
      <c r="A57" s="124">
        <v>45829</v>
      </c>
      <c r="B57" s="2">
        <v>76400</v>
      </c>
      <c r="C57" s="2">
        <f t="shared" si="0"/>
        <v>76400</v>
      </c>
      <c r="D57" s="2">
        <v>31200</v>
      </c>
      <c r="E57" s="2">
        <v>46225</v>
      </c>
      <c r="F57" s="2">
        <f t="shared" si="1"/>
        <v>77425</v>
      </c>
      <c r="G57" s="2">
        <f t="shared" si="2"/>
        <v>-1025</v>
      </c>
      <c r="H57"/>
      <c r="J57" s="68"/>
      <c r="K57" s="28"/>
      <c r="L57" s="28"/>
      <c r="M57" s="28"/>
      <c r="N57" s="28"/>
      <c r="O57" s="28"/>
      <c r="P57" s="29"/>
      <c r="Q57" s="54"/>
      <c r="R57" s="30"/>
    </row>
    <row r="58" spans="1:18" ht="15" customHeight="1" x14ac:dyDescent="0.3">
      <c r="A58" s="124">
        <v>45830</v>
      </c>
      <c r="B58" s="2">
        <v>302800</v>
      </c>
      <c r="C58" s="2">
        <f t="shared" si="0"/>
        <v>302800</v>
      </c>
      <c r="D58" s="2"/>
      <c r="E58" s="2">
        <v>800</v>
      </c>
      <c r="F58" s="2">
        <f t="shared" si="1"/>
        <v>800</v>
      </c>
      <c r="G58" s="2">
        <f t="shared" si="2"/>
        <v>302000</v>
      </c>
      <c r="H58"/>
      <c r="J58" s="68"/>
      <c r="K58" s="28"/>
      <c r="L58" s="28"/>
      <c r="M58" s="28"/>
      <c r="N58" s="28"/>
      <c r="O58" s="28"/>
      <c r="P58" s="29"/>
      <c r="Q58" s="54"/>
      <c r="R58" s="30"/>
    </row>
    <row r="59" spans="1:18" ht="15" customHeight="1" x14ac:dyDescent="0.3">
      <c r="A59" s="124">
        <v>45831</v>
      </c>
      <c r="B59" s="2">
        <v>88300</v>
      </c>
      <c r="C59" s="2">
        <f t="shared" si="0"/>
        <v>88300</v>
      </c>
      <c r="D59" s="2"/>
      <c r="E59" s="2">
        <v>38656</v>
      </c>
      <c r="F59" s="2">
        <f t="shared" si="1"/>
        <v>38656</v>
      </c>
      <c r="G59" s="2">
        <f t="shared" si="2"/>
        <v>49644</v>
      </c>
      <c r="H59"/>
      <c r="J59" s="68"/>
      <c r="K59" s="28"/>
      <c r="L59" s="28"/>
      <c r="M59" s="28"/>
      <c r="N59" s="28"/>
      <c r="O59" s="28"/>
      <c r="P59" s="29"/>
      <c r="Q59" s="54"/>
      <c r="R59" s="30"/>
    </row>
    <row r="60" spans="1:18" ht="15" customHeight="1" x14ac:dyDescent="0.3">
      <c r="A60" s="124">
        <v>45832</v>
      </c>
      <c r="B60" s="2">
        <v>157769</v>
      </c>
      <c r="C60" s="2">
        <f t="shared" si="0"/>
        <v>157769</v>
      </c>
      <c r="D60" s="2"/>
      <c r="E60" s="2">
        <v>30976</v>
      </c>
      <c r="F60" s="2">
        <f t="shared" si="1"/>
        <v>30976</v>
      </c>
      <c r="G60" s="2">
        <f t="shared" si="2"/>
        <v>126793</v>
      </c>
      <c r="H60"/>
      <c r="J60" s="68"/>
      <c r="K60" s="28"/>
      <c r="L60" s="28"/>
      <c r="M60" s="28"/>
      <c r="N60" s="28"/>
      <c r="O60" s="28"/>
      <c r="P60" s="29"/>
      <c r="Q60" s="54"/>
      <c r="R60" s="30"/>
    </row>
    <row r="61" spans="1:18" ht="15" customHeight="1" x14ac:dyDescent="0.3">
      <c r="A61" s="124">
        <v>45833</v>
      </c>
      <c r="B61" s="2">
        <v>79400</v>
      </c>
      <c r="C61" s="2">
        <f t="shared" si="0"/>
        <v>79400</v>
      </c>
      <c r="D61" s="2">
        <v>4000</v>
      </c>
      <c r="E61" s="2">
        <v>50260</v>
      </c>
      <c r="F61" s="2">
        <f t="shared" si="1"/>
        <v>54260</v>
      </c>
      <c r="G61" s="2">
        <f t="shared" si="2"/>
        <v>25140</v>
      </c>
      <c r="H61"/>
      <c r="J61" s="68"/>
      <c r="K61" s="28"/>
      <c r="L61" s="28"/>
      <c r="M61" s="28"/>
      <c r="N61" s="28"/>
      <c r="O61" s="28"/>
      <c r="P61" s="29"/>
      <c r="Q61" s="54"/>
      <c r="R61" s="30"/>
    </row>
    <row r="62" spans="1:18" ht="15" customHeight="1" x14ac:dyDescent="0.3">
      <c r="A62" s="124">
        <v>45834</v>
      </c>
      <c r="B62" s="2">
        <v>299160</v>
      </c>
      <c r="C62" s="2">
        <f t="shared" si="0"/>
        <v>299160</v>
      </c>
      <c r="D62" s="2">
        <v>30000</v>
      </c>
      <c r="E62" s="2">
        <v>252102</v>
      </c>
      <c r="F62" s="2">
        <f t="shared" si="1"/>
        <v>282102</v>
      </c>
      <c r="G62" s="2">
        <f t="shared" si="2"/>
        <v>17058</v>
      </c>
      <c r="H62"/>
      <c r="J62" s="68"/>
      <c r="K62" s="28"/>
      <c r="L62" s="28"/>
      <c r="M62" s="28"/>
      <c r="N62" s="28"/>
      <c r="O62" s="28"/>
      <c r="P62" s="29"/>
      <c r="Q62" s="54"/>
      <c r="R62" s="30"/>
    </row>
    <row r="63" spans="1:18" ht="15" customHeight="1" x14ac:dyDescent="0.3">
      <c r="A63" s="124">
        <v>45835</v>
      </c>
      <c r="B63" s="2">
        <v>103100</v>
      </c>
      <c r="C63" s="2">
        <f t="shared" si="0"/>
        <v>103100</v>
      </c>
      <c r="D63" s="2"/>
      <c r="E63" s="2">
        <v>58462</v>
      </c>
      <c r="F63" s="2">
        <f t="shared" si="1"/>
        <v>58462</v>
      </c>
      <c r="G63" s="2">
        <f t="shared" si="2"/>
        <v>44638</v>
      </c>
      <c r="H63"/>
      <c r="J63" s="68"/>
      <c r="K63" s="28"/>
      <c r="L63" s="28"/>
      <c r="M63" s="28"/>
      <c r="N63" s="28"/>
      <c r="O63" s="28"/>
      <c r="P63" s="29"/>
      <c r="Q63" s="54"/>
      <c r="R63" s="30"/>
    </row>
    <row r="64" spans="1:18" ht="15" customHeight="1" x14ac:dyDescent="0.3">
      <c r="A64" s="124">
        <v>45836</v>
      </c>
      <c r="B64" s="2">
        <v>168533</v>
      </c>
      <c r="C64" s="2">
        <f t="shared" si="0"/>
        <v>168533</v>
      </c>
      <c r="D64" s="2"/>
      <c r="E64" s="2">
        <v>20809</v>
      </c>
      <c r="F64" s="2">
        <f t="shared" si="1"/>
        <v>20809</v>
      </c>
      <c r="G64" s="2">
        <f t="shared" si="2"/>
        <v>147724</v>
      </c>
      <c r="H64"/>
      <c r="J64" s="68"/>
      <c r="K64" s="28"/>
      <c r="L64" s="28"/>
      <c r="M64" s="28"/>
      <c r="N64" s="28"/>
      <c r="O64" s="28"/>
      <c r="P64" s="29"/>
      <c r="Q64" s="54"/>
      <c r="R64" s="30"/>
    </row>
    <row r="65" spans="1:18" ht="15" customHeight="1" x14ac:dyDescent="0.3">
      <c r="A65" s="124">
        <v>45837</v>
      </c>
      <c r="B65" s="2">
        <v>129000</v>
      </c>
      <c r="C65" s="2">
        <f t="shared" si="0"/>
        <v>129000</v>
      </c>
      <c r="D65" s="2"/>
      <c r="E65" s="2">
        <v>58130</v>
      </c>
      <c r="F65" s="2">
        <f t="shared" si="1"/>
        <v>58130</v>
      </c>
      <c r="G65" s="2">
        <f t="shared" si="2"/>
        <v>70870</v>
      </c>
      <c r="H65"/>
      <c r="J65" s="68"/>
      <c r="K65" s="28"/>
      <c r="L65" s="28"/>
      <c r="M65" s="28"/>
      <c r="N65" s="28"/>
      <c r="O65" s="28"/>
      <c r="P65" s="29"/>
      <c r="Q65" s="54"/>
      <c r="R65" s="30"/>
    </row>
    <row r="66" spans="1:18" ht="15" customHeight="1" x14ac:dyDescent="0.3">
      <c r="A66" s="124">
        <v>45838</v>
      </c>
      <c r="B66" s="2">
        <v>508000</v>
      </c>
      <c r="C66" s="2">
        <f t="shared" si="0"/>
        <v>508000</v>
      </c>
      <c r="D66" s="2">
        <v>2340</v>
      </c>
      <c r="E66" s="2">
        <f>33462+44160</f>
        <v>77622</v>
      </c>
      <c r="F66" s="2">
        <f t="shared" si="1"/>
        <v>79962</v>
      </c>
      <c r="G66" s="2">
        <f t="shared" si="2"/>
        <v>428038</v>
      </c>
      <c r="H66"/>
      <c r="J66" s="68"/>
      <c r="K66" s="28"/>
      <c r="L66" s="28"/>
      <c r="M66" s="28"/>
      <c r="N66" s="28"/>
      <c r="O66" s="28"/>
      <c r="P66" s="29"/>
      <c r="Q66" s="54"/>
      <c r="R66" s="30"/>
    </row>
    <row r="67" spans="1:18" ht="15" customHeight="1" x14ac:dyDescent="0.3">
      <c r="A67" s="124"/>
      <c r="B67" s="2"/>
      <c r="C67" s="2">
        <v>0</v>
      </c>
      <c r="D67" s="2"/>
      <c r="E67" s="2"/>
      <c r="F67" s="2">
        <v>0</v>
      </c>
      <c r="G67" s="2">
        <f t="shared" si="2"/>
        <v>0</v>
      </c>
      <c r="H67" s="2"/>
      <c r="J67" s="68"/>
      <c r="K67" s="28"/>
      <c r="L67" s="28"/>
      <c r="M67" s="28"/>
      <c r="N67" s="28"/>
      <c r="O67" s="28"/>
      <c r="P67" s="29"/>
      <c r="Q67" s="54"/>
      <c r="R67" s="30"/>
    </row>
    <row r="68" spans="1:18" ht="15" customHeight="1" x14ac:dyDescent="0.3">
      <c r="A68" s="175" t="s">
        <v>59</v>
      </c>
      <c r="B68" s="2">
        <f>SUM(B37:B66)</f>
        <v>3479869</v>
      </c>
      <c r="C68" s="2">
        <f t="shared" ref="C68:F68" si="3">SUM(C37:C66)</f>
        <v>3479869</v>
      </c>
      <c r="D68" s="2">
        <f t="shared" si="3"/>
        <v>1670544</v>
      </c>
      <c r="E68" s="2">
        <f t="shared" si="3"/>
        <v>1176313</v>
      </c>
      <c r="F68" s="2">
        <f t="shared" si="3"/>
        <v>2846857</v>
      </c>
      <c r="G68" s="2">
        <f>SUM(G37:G66)</f>
        <v>633012</v>
      </c>
      <c r="H68"/>
      <c r="J68" s="68"/>
      <c r="K68" s="28"/>
      <c r="L68" s="28"/>
      <c r="M68" s="28"/>
      <c r="N68" s="28"/>
      <c r="O68" s="28"/>
      <c r="P68" s="29"/>
      <c r="Q68" s="54"/>
      <c r="R68" s="30"/>
    </row>
    <row r="69" spans="1:18" ht="15" customHeight="1" x14ac:dyDescent="0.3">
      <c r="A69" s="124"/>
      <c r="B69" s="2"/>
      <c r="C69" s="2"/>
      <c r="D69" s="2"/>
      <c r="E69" s="2"/>
      <c r="F69" s="2"/>
      <c r="G69" s="2"/>
      <c r="H69"/>
      <c r="J69" s="68"/>
      <c r="K69" s="28"/>
      <c r="L69" s="28"/>
      <c r="M69" s="28"/>
      <c r="N69" s="28"/>
      <c r="O69" s="28"/>
      <c r="P69" s="29"/>
      <c r="Q69" s="54"/>
      <c r="R69" s="30"/>
    </row>
    <row r="70" spans="1:18" ht="15" customHeight="1" x14ac:dyDescent="0.3">
      <c r="A70" s="124"/>
      <c r="B70" s="2"/>
      <c r="C70" s="2"/>
      <c r="D70" s="2"/>
      <c r="E70" s="2"/>
      <c r="F70" s="2"/>
      <c r="G70" s="2"/>
      <c r="H70"/>
      <c r="J70" s="68"/>
      <c r="K70" s="28"/>
      <c r="L70" s="28"/>
      <c r="M70" s="28"/>
      <c r="N70" s="28"/>
      <c r="O70" s="28"/>
      <c r="P70" s="29"/>
      <c r="Q70" s="54"/>
      <c r="R70" s="30"/>
    </row>
    <row r="71" spans="1:18" ht="15" customHeight="1" x14ac:dyDescent="0.3">
      <c r="A71" s="124"/>
      <c r="B71" s="2"/>
      <c r="C71" s="2"/>
      <c r="D71" s="2"/>
      <c r="E71" s="2"/>
      <c r="F71" s="2"/>
      <c r="G71" s="2"/>
      <c r="H71"/>
      <c r="J71" s="68"/>
      <c r="K71" s="28"/>
      <c r="L71" s="28"/>
      <c r="M71" s="28"/>
      <c r="N71" s="28"/>
      <c r="O71" s="28"/>
      <c r="P71" s="29"/>
      <c r="Q71" s="54"/>
      <c r="R71" s="30"/>
    </row>
    <row r="72" spans="1:18" ht="15" customHeight="1" x14ac:dyDescent="0.3">
      <c r="A72" s="124">
        <v>45778</v>
      </c>
      <c r="B72" s="2"/>
      <c r="C72" s="2">
        <v>0</v>
      </c>
      <c r="D72" s="2">
        <v>1200</v>
      </c>
      <c r="E72" s="2"/>
      <c r="F72" s="2">
        <f>D72+E72</f>
        <v>1200</v>
      </c>
      <c r="G72" s="2">
        <f>C72-F72</f>
        <v>-1200</v>
      </c>
      <c r="H72"/>
      <c r="J72" s="68"/>
      <c r="K72" s="28"/>
      <c r="L72" s="28"/>
      <c r="M72" s="28"/>
      <c r="N72" s="28"/>
      <c r="O72" s="28"/>
      <c r="P72" s="29"/>
      <c r="Q72" s="54"/>
      <c r="R72" s="30"/>
    </row>
    <row r="73" spans="1:18" ht="15" customHeight="1" x14ac:dyDescent="0.3">
      <c r="A73" s="124">
        <v>45779</v>
      </c>
      <c r="B73" s="2">
        <v>54002</v>
      </c>
      <c r="C73" s="2">
        <v>54002</v>
      </c>
      <c r="D73" s="2">
        <v>59500</v>
      </c>
      <c r="E73" s="2"/>
      <c r="F73" s="2">
        <f t="shared" ref="F73:F102" si="4">D73+E73</f>
        <v>59500</v>
      </c>
      <c r="G73" s="2">
        <f t="shared" ref="G73:G102" si="5">C73-F73</f>
        <v>-5498</v>
      </c>
      <c r="H73"/>
      <c r="J73" s="68"/>
      <c r="K73" s="28"/>
      <c r="L73" s="28"/>
      <c r="M73" s="28"/>
      <c r="N73" s="28"/>
      <c r="O73" s="28"/>
      <c r="P73" s="29"/>
      <c r="Q73" s="54"/>
      <c r="R73" s="30"/>
    </row>
    <row r="74" spans="1:18" ht="15" customHeight="1" x14ac:dyDescent="0.3">
      <c r="A74" s="124">
        <v>45780</v>
      </c>
      <c r="B74" s="2">
        <v>104300</v>
      </c>
      <c r="C74" s="2">
        <v>104300</v>
      </c>
      <c r="D74" s="2">
        <v>34880</v>
      </c>
      <c r="E74" s="2">
        <v>13530</v>
      </c>
      <c r="F74" s="2">
        <f t="shared" si="4"/>
        <v>48410</v>
      </c>
      <c r="G74" s="2">
        <f t="shared" si="5"/>
        <v>55890</v>
      </c>
      <c r="H74"/>
      <c r="J74" s="68"/>
      <c r="K74" s="28"/>
      <c r="L74" s="28"/>
      <c r="M74" s="28"/>
      <c r="N74" s="28"/>
      <c r="O74" s="28"/>
      <c r="P74" s="29"/>
      <c r="Q74" s="54"/>
      <c r="R74" s="30"/>
    </row>
    <row r="75" spans="1:18" ht="15" customHeight="1" x14ac:dyDescent="0.3">
      <c r="A75" s="124">
        <v>45781</v>
      </c>
      <c r="B75" s="2"/>
      <c r="C75" s="2">
        <v>0</v>
      </c>
      <c r="D75" s="2"/>
      <c r="E75" s="2">
        <v>201752</v>
      </c>
      <c r="F75" s="2">
        <f t="shared" si="4"/>
        <v>201752</v>
      </c>
      <c r="G75" s="2">
        <f t="shared" si="5"/>
        <v>-201752</v>
      </c>
      <c r="H75"/>
      <c r="J75" s="68"/>
      <c r="K75" s="28"/>
      <c r="L75" s="28"/>
      <c r="M75" s="28"/>
      <c r="N75" s="28"/>
      <c r="O75" s="28"/>
      <c r="P75" s="29"/>
      <c r="Q75" s="54"/>
      <c r="R75" s="30"/>
    </row>
    <row r="76" spans="1:18" ht="15" customHeight="1" x14ac:dyDescent="0.3">
      <c r="A76" s="124">
        <v>45782</v>
      </c>
      <c r="B76" s="2">
        <v>18000</v>
      </c>
      <c r="C76" s="2">
        <v>18000</v>
      </c>
      <c r="D76" s="2">
        <v>1459690</v>
      </c>
      <c r="E76" s="2"/>
      <c r="F76" s="2">
        <f t="shared" si="4"/>
        <v>1459690</v>
      </c>
      <c r="G76" s="2">
        <f t="shared" si="5"/>
        <v>-1441690</v>
      </c>
      <c r="H76" s="176" t="s">
        <v>381</v>
      </c>
      <c r="J76" s="68"/>
      <c r="K76" s="28"/>
      <c r="L76" s="28"/>
      <c r="M76" s="28"/>
      <c r="N76" s="28"/>
      <c r="O76" s="28"/>
      <c r="P76" s="29"/>
      <c r="Q76" s="54"/>
      <c r="R76" s="30"/>
    </row>
    <row r="77" spans="1:18" ht="15" customHeight="1" x14ac:dyDescent="0.3">
      <c r="A77" s="124">
        <v>45783</v>
      </c>
      <c r="B77" s="2"/>
      <c r="C77" s="2">
        <v>0</v>
      </c>
      <c r="D77" s="2">
        <v>12052</v>
      </c>
      <c r="E77" s="2"/>
      <c r="F77" s="2">
        <f t="shared" si="4"/>
        <v>12052</v>
      </c>
      <c r="G77" s="2">
        <f t="shared" si="5"/>
        <v>-12052</v>
      </c>
      <c r="H77"/>
      <c r="J77" s="68"/>
      <c r="K77" s="28"/>
      <c r="L77" s="28"/>
      <c r="M77" s="28"/>
      <c r="N77" s="28"/>
      <c r="O77" s="28"/>
      <c r="P77" s="29"/>
      <c r="Q77" s="54"/>
      <c r="R77" s="30"/>
    </row>
    <row r="78" spans="1:18" ht="15" customHeight="1" x14ac:dyDescent="0.3">
      <c r="A78" s="124">
        <v>45784</v>
      </c>
      <c r="B78" s="2"/>
      <c r="C78" s="2">
        <v>0</v>
      </c>
      <c r="D78" s="2">
        <v>13895</v>
      </c>
      <c r="E78" s="2">
        <v>62459</v>
      </c>
      <c r="F78" s="2">
        <f t="shared" si="4"/>
        <v>76354</v>
      </c>
      <c r="G78" s="2">
        <f t="shared" si="5"/>
        <v>-76354</v>
      </c>
      <c r="H78"/>
      <c r="J78" s="68"/>
      <c r="K78" s="28"/>
      <c r="L78" s="28"/>
      <c r="M78" s="28"/>
      <c r="N78" s="28"/>
      <c r="O78" s="28"/>
      <c r="P78" s="29"/>
      <c r="Q78" s="54"/>
      <c r="R78" s="30"/>
    </row>
    <row r="79" spans="1:18" ht="15" customHeight="1" x14ac:dyDescent="0.3">
      <c r="A79" s="124">
        <v>45785</v>
      </c>
      <c r="B79" s="2">
        <v>129605</v>
      </c>
      <c r="C79" s="2">
        <v>129605</v>
      </c>
      <c r="D79" s="2">
        <v>20000</v>
      </c>
      <c r="E79" s="2">
        <v>248089</v>
      </c>
      <c r="F79" s="2">
        <f t="shared" si="4"/>
        <v>268089</v>
      </c>
      <c r="G79" s="2">
        <f t="shared" si="5"/>
        <v>-138484</v>
      </c>
      <c r="H79"/>
      <c r="J79" s="68"/>
      <c r="K79" s="28"/>
      <c r="L79" s="28"/>
      <c r="M79" s="28"/>
      <c r="N79" s="28"/>
      <c r="O79" s="28"/>
      <c r="P79" s="29"/>
      <c r="Q79" s="54"/>
      <c r="R79" s="30"/>
    </row>
    <row r="80" spans="1:18" ht="15" customHeight="1" x14ac:dyDescent="0.3">
      <c r="A80" s="124">
        <v>45786</v>
      </c>
      <c r="B80" s="2">
        <v>3712000</v>
      </c>
      <c r="C80" s="2">
        <v>3712000</v>
      </c>
      <c r="D80" s="2"/>
      <c r="E80" s="2">
        <v>135814</v>
      </c>
      <c r="F80" s="2">
        <f t="shared" si="4"/>
        <v>135814</v>
      </c>
      <c r="G80" s="2">
        <f t="shared" si="5"/>
        <v>3576186</v>
      </c>
      <c r="H80"/>
      <c r="J80" s="68"/>
      <c r="K80" s="28"/>
      <c r="L80" s="28"/>
      <c r="M80" s="28"/>
      <c r="N80" s="28"/>
      <c r="O80" s="28"/>
      <c r="P80" s="29"/>
      <c r="Q80" s="54"/>
      <c r="R80" s="30"/>
    </row>
    <row r="81" spans="1:18" ht="15" customHeight="1" x14ac:dyDescent="0.3">
      <c r="A81" s="124">
        <v>45787</v>
      </c>
      <c r="B81" s="2"/>
      <c r="C81" s="2">
        <v>0</v>
      </c>
      <c r="D81" s="2">
        <v>33000</v>
      </c>
      <c r="E81" s="2">
        <v>4950</v>
      </c>
      <c r="F81" s="2">
        <f t="shared" si="4"/>
        <v>37950</v>
      </c>
      <c r="G81" s="2">
        <f t="shared" si="5"/>
        <v>-37950</v>
      </c>
      <c r="H81"/>
      <c r="J81" s="68"/>
      <c r="K81" s="28"/>
      <c r="L81" s="28"/>
      <c r="M81" s="28"/>
      <c r="N81" s="28"/>
      <c r="O81" s="28"/>
      <c r="P81" s="29"/>
      <c r="Q81" s="54"/>
      <c r="R81" s="30"/>
    </row>
    <row r="82" spans="1:18" ht="15" customHeight="1" x14ac:dyDescent="0.3">
      <c r="A82" s="124">
        <v>45788</v>
      </c>
      <c r="B82" s="2"/>
      <c r="C82" s="2">
        <v>0</v>
      </c>
      <c r="D82" s="2"/>
      <c r="E82" s="2"/>
      <c r="F82" s="2">
        <f t="shared" si="4"/>
        <v>0</v>
      </c>
      <c r="G82" s="2">
        <f t="shared" si="5"/>
        <v>0</v>
      </c>
      <c r="H82"/>
      <c r="J82" s="68"/>
      <c r="K82" s="28"/>
      <c r="L82" s="28"/>
      <c r="M82" s="28"/>
      <c r="N82" s="28"/>
      <c r="O82" s="28"/>
      <c r="P82" s="29"/>
      <c r="Q82" s="54"/>
      <c r="R82" s="30"/>
    </row>
    <row r="83" spans="1:18" ht="15" customHeight="1" x14ac:dyDescent="0.3">
      <c r="A83" s="124">
        <v>45789</v>
      </c>
      <c r="B83" s="2">
        <v>96000</v>
      </c>
      <c r="C83" s="2">
        <v>96000</v>
      </c>
      <c r="D83" s="2">
        <v>841600</v>
      </c>
      <c r="E83" s="2">
        <v>12861</v>
      </c>
      <c r="F83" s="2">
        <f t="shared" si="4"/>
        <v>854461</v>
      </c>
      <c r="G83" s="2">
        <f t="shared" si="5"/>
        <v>-758461</v>
      </c>
      <c r="H83"/>
      <c r="J83" s="68"/>
      <c r="K83" s="28"/>
      <c r="L83" s="28"/>
      <c r="M83" s="28"/>
      <c r="N83" s="28"/>
      <c r="O83" s="28"/>
      <c r="P83" s="29"/>
      <c r="Q83" s="54"/>
      <c r="R83" s="30"/>
    </row>
    <row r="84" spans="1:18" ht="15" customHeight="1" x14ac:dyDescent="0.3">
      <c r="A84" s="124">
        <v>45790</v>
      </c>
      <c r="B84" s="2">
        <v>8400</v>
      </c>
      <c r="C84" s="2">
        <v>8400</v>
      </c>
      <c r="D84" s="2">
        <v>159384</v>
      </c>
      <c r="E84" s="2">
        <v>70571</v>
      </c>
      <c r="F84" s="2">
        <f t="shared" si="4"/>
        <v>229955</v>
      </c>
      <c r="G84" s="2">
        <f t="shared" si="5"/>
        <v>-221555</v>
      </c>
      <c r="H84"/>
      <c r="J84" s="68"/>
      <c r="K84" s="28"/>
      <c r="L84" s="28"/>
      <c r="M84" s="28"/>
      <c r="N84" s="28"/>
      <c r="O84" s="28"/>
      <c r="P84" s="29"/>
      <c r="Q84" s="54"/>
      <c r="R84" s="30"/>
    </row>
    <row r="85" spans="1:18" ht="15" customHeight="1" x14ac:dyDescent="0.3">
      <c r="A85" s="124">
        <v>45791</v>
      </c>
      <c r="B85" s="2">
        <v>14400</v>
      </c>
      <c r="C85" s="2">
        <v>14400</v>
      </c>
      <c r="D85" s="2"/>
      <c r="E85" s="2"/>
      <c r="F85" s="2">
        <f t="shared" si="4"/>
        <v>0</v>
      </c>
      <c r="G85" s="2">
        <f t="shared" si="5"/>
        <v>14400</v>
      </c>
      <c r="H85"/>
      <c r="J85" s="68"/>
      <c r="K85" s="28"/>
      <c r="L85" s="28"/>
      <c r="M85" s="28"/>
      <c r="N85" s="28"/>
      <c r="O85" s="28"/>
      <c r="P85" s="29"/>
      <c r="Q85" s="54"/>
      <c r="R85" s="30"/>
    </row>
    <row r="86" spans="1:18" ht="15" customHeight="1" x14ac:dyDescent="0.3">
      <c r="A86" s="124">
        <v>45792</v>
      </c>
      <c r="B86" s="2"/>
      <c r="C86" s="2">
        <v>0</v>
      </c>
      <c r="D86" s="2">
        <v>23836</v>
      </c>
      <c r="E86" s="2">
        <v>31910</v>
      </c>
      <c r="F86" s="2">
        <f t="shared" si="4"/>
        <v>55746</v>
      </c>
      <c r="G86" s="2">
        <f t="shared" si="5"/>
        <v>-55746</v>
      </c>
      <c r="H86"/>
      <c r="J86" s="68"/>
      <c r="K86" s="28"/>
      <c r="L86" s="28"/>
      <c r="M86" s="28"/>
      <c r="N86" s="28"/>
      <c r="O86" s="28"/>
      <c r="P86" s="29"/>
      <c r="Q86" s="54"/>
      <c r="R86" s="30"/>
    </row>
    <row r="87" spans="1:18" ht="15" customHeight="1" x14ac:dyDescent="0.3">
      <c r="A87" s="124">
        <v>45793</v>
      </c>
      <c r="B87" s="2">
        <v>223208</v>
      </c>
      <c r="C87" s="2">
        <v>223208</v>
      </c>
      <c r="D87" s="2">
        <v>30000</v>
      </c>
      <c r="E87" s="2">
        <v>17882</v>
      </c>
      <c r="F87" s="2">
        <f t="shared" si="4"/>
        <v>47882</v>
      </c>
      <c r="G87" s="2">
        <f t="shared" si="5"/>
        <v>175326</v>
      </c>
      <c r="H87"/>
      <c r="J87" s="68"/>
      <c r="K87" s="28"/>
      <c r="L87" s="28"/>
      <c r="M87" s="28"/>
      <c r="N87" s="28"/>
      <c r="O87" s="28"/>
      <c r="P87" s="29"/>
      <c r="Q87" s="54"/>
      <c r="R87" s="30"/>
    </row>
    <row r="88" spans="1:18" ht="15" customHeight="1" x14ac:dyDescent="0.3">
      <c r="A88" s="124">
        <v>45794</v>
      </c>
      <c r="B88" s="2"/>
      <c r="C88" s="2">
        <v>0</v>
      </c>
      <c r="D88" s="2">
        <v>112500</v>
      </c>
      <c r="E88" s="2"/>
      <c r="F88" s="2">
        <f t="shared" si="4"/>
        <v>112500</v>
      </c>
      <c r="G88" s="2">
        <f t="shared" si="5"/>
        <v>-112500</v>
      </c>
      <c r="H88"/>
      <c r="J88" s="68"/>
      <c r="K88" s="28"/>
      <c r="L88" s="28"/>
      <c r="M88" s="28"/>
      <c r="N88" s="28"/>
      <c r="O88" s="28"/>
      <c r="P88" s="29"/>
      <c r="Q88" s="54"/>
      <c r="R88" s="30"/>
    </row>
    <row r="89" spans="1:18" ht="15" customHeight="1" x14ac:dyDescent="0.3">
      <c r="A89" s="124">
        <v>45795</v>
      </c>
      <c r="B89" s="2"/>
      <c r="C89" s="2">
        <v>0</v>
      </c>
      <c r="D89" s="2">
        <v>6990</v>
      </c>
      <c r="E89" s="2"/>
      <c r="F89" s="2">
        <f t="shared" si="4"/>
        <v>6990</v>
      </c>
      <c r="G89" s="2">
        <f t="shared" si="5"/>
        <v>-6990</v>
      </c>
      <c r="H89"/>
      <c r="J89" s="68"/>
      <c r="K89" s="28"/>
      <c r="L89" s="28"/>
      <c r="M89" s="28"/>
      <c r="N89" s="28"/>
      <c r="O89" s="28"/>
      <c r="P89" s="29"/>
      <c r="Q89" s="54"/>
      <c r="R89" s="30"/>
    </row>
    <row r="90" spans="1:18" ht="15" customHeight="1" x14ac:dyDescent="0.3">
      <c r="A90" s="124">
        <v>45796</v>
      </c>
      <c r="B90" s="2">
        <v>71900</v>
      </c>
      <c r="C90" s="2">
        <v>71900</v>
      </c>
      <c r="D90" s="2"/>
      <c r="E90" s="2"/>
      <c r="F90" s="2">
        <f t="shared" si="4"/>
        <v>0</v>
      </c>
      <c r="G90" s="2">
        <f t="shared" si="5"/>
        <v>71900</v>
      </c>
      <c r="H90"/>
      <c r="J90" s="68"/>
      <c r="K90" s="28"/>
      <c r="L90" s="28"/>
      <c r="M90" s="28"/>
      <c r="N90" s="28"/>
      <c r="O90" s="28"/>
      <c r="P90" s="29"/>
      <c r="Q90" s="54"/>
      <c r="R90" s="30"/>
    </row>
    <row r="91" spans="1:18" ht="15" customHeight="1" x14ac:dyDescent="0.3">
      <c r="A91" s="124">
        <v>45797</v>
      </c>
      <c r="B91" s="2"/>
      <c r="C91" s="2">
        <v>0</v>
      </c>
      <c r="D91" s="2">
        <v>23350</v>
      </c>
      <c r="E91" s="2">
        <v>17700</v>
      </c>
      <c r="F91" s="2">
        <f t="shared" si="4"/>
        <v>41050</v>
      </c>
      <c r="G91" s="2">
        <f t="shared" si="5"/>
        <v>-41050</v>
      </c>
      <c r="H91"/>
      <c r="J91" s="68"/>
      <c r="K91" s="28"/>
      <c r="L91" s="28"/>
      <c r="M91" s="28"/>
      <c r="N91" s="28"/>
      <c r="O91" s="28"/>
      <c r="P91" s="29"/>
      <c r="Q91" s="54"/>
      <c r="R91" s="30"/>
    </row>
    <row r="92" spans="1:18" ht="15" customHeight="1" x14ac:dyDescent="0.3">
      <c r="A92" s="124">
        <v>45798</v>
      </c>
      <c r="B92" s="2"/>
      <c r="C92" s="2">
        <v>0</v>
      </c>
      <c r="D92" s="2"/>
      <c r="E92" s="2"/>
      <c r="F92" s="2">
        <f t="shared" si="4"/>
        <v>0</v>
      </c>
      <c r="G92" s="2">
        <f t="shared" si="5"/>
        <v>0</v>
      </c>
      <c r="H92"/>
      <c r="J92" s="68"/>
      <c r="K92" s="28"/>
      <c r="L92" s="28"/>
      <c r="M92" s="28"/>
      <c r="N92" s="28"/>
      <c r="O92" s="28"/>
      <c r="P92" s="29"/>
      <c r="Q92" s="54"/>
      <c r="R92" s="30"/>
    </row>
    <row r="93" spans="1:18" ht="15" customHeight="1" x14ac:dyDescent="0.3">
      <c r="A93" s="124">
        <v>45799</v>
      </c>
      <c r="B93" s="2"/>
      <c r="C93" s="2">
        <v>0</v>
      </c>
      <c r="D93" s="2"/>
      <c r="E93" s="2"/>
      <c r="F93" s="2">
        <f t="shared" si="4"/>
        <v>0</v>
      </c>
      <c r="G93" s="2">
        <f t="shared" si="5"/>
        <v>0</v>
      </c>
      <c r="H93"/>
      <c r="J93" s="68"/>
      <c r="K93" s="28"/>
      <c r="L93" s="28"/>
      <c r="M93" s="28"/>
      <c r="N93" s="28"/>
      <c r="O93" s="28"/>
      <c r="P93" s="29"/>
      <c r="Q93" s="54"/>
      <c r="R93" s="30"/>
    </row>
    <row r="94" spans="1:18" ht="15" customHeight="1" x14ac:dyDescent="0.3">
      <c r="A94" s="124">
        <v>45800</v>
      </c>
      <c r="B94" s="2">
        <v>79200</v>
      </c>
      <c r="C94" s="2">
        <v>79200</v>
      </c>
      <c r="D94" s="2"/>
      <c r="E94" s="2">
        <v>14300</v>
      </c>
      <c r="F94" s="2">
        <f t="shared" si="4"/>
        <v>14300</v>
      </c>
      <c r="G94" s="2">
        <f t="shared" si="5"/>
        <v>64900</v>
      </c>
      <c r="H94"/>
      <c r="J94" s="68"/>
      <c r="K94" s="28"/>
      <c r="L94" s="28"/>
      <c r="M94" s="28"/>
      <c r="N94" s="28"/>
      <c r="O94" s="28"/>
      <c r="P94" s="29"/>
      <c r="Q94" s="54"/>
      <c r="R94" s="30"/>
    </row>
    <row r="95" spans="1:18" ht="15" customHeight="1" x14ac:dyDescent="0.3">
      <c r="A95" s="124">
        <v>45801</v>
      </c>
      <c r="B95" s="2">
        <v>119600</v>
      </c>
      <c r="C95" s="2">
        <v>119600</v>
      </c>
      <c r="D95" s="2"/>
      <c r="E95" s="2"/>
      <c r="F95" s="2">
        <f t="shared" si="4"/>
        <v>0</v>
      </c>
      <c r="G95" s="2">
        <f t="shared" si="5"/>
        <v>119600</v>
      </c>
      <c r="H95"/>
      <c r="J95" s="68"/>
      <c r="K95" s="28"/>
      <c r="L95" s="28"/>
      <c r="M95" s="28"/>
      <c r="N95" s="28"/>
      <c r="O95" s="28"/>
      <c r="P95" s="29"/>
      <c r="Q95" s="54"/>
      <c r="R95" s="30"/>
    </row>
    <row r="96" spans="1:18" ht="15" customHeight="1" x14ac:dyDescent="0.3">
      <c r="A96" s="124">
        <v>45802</v>
      </c>
      <c r="B96" s="2">
        <v>97500</v>
      </c>
      <c r="C96" s="2">
        <v>97500</v>
      </c>
      <c r="D96" s="2">
        <v>30000</v>
      </c>
      <c r="E96" s="2"/>
      <c r="F96" s="2">
        <f t="shared" si="4"/>
        <v>30000</v>
      </c>
      <c r="G96" s="2">
        <f t="shared" si="5"/>
        <v>67500</v>
      </c>
      <c r="H96"/>
      <c r="J96" s="68"/>
      <c r="K96" s="28"/>
      <c r="L96" s="28"/>
      <c r="M96" s="28"/>
      <c r="N96" s="28"/>
      <c r="O96" s="28"/>
      <c r="P96" s="29"/>
      <c r="Q96" s="54"/>
      <c r="R96" s="30"/>
    </row>
    <row r="97" spans="1:18" ht="15" customHeight="1" x14ac:dyDescent="0.3">
      <c r="A97" s="124">
        <v>45803</v>
      </c>
      <c r="B97" s="2">
        <v>53400</v>
      </c>
      <c r="C97" s="2">
        <v>53400</v>
      </c>
      <c r="D97" s="2">
        <v>15444</v>
      </c>
      <c r="E97" s="2">
        <v>20481</v>
      </c>
      <c r="F97" s="2">
        <f t="shared" si="4"/>
        <v>35925</v>
      </c>
      <c r="G97" s="2">
        <f t="shared" si="5"/>
        <v>17475</v>
      </c>
      <c r="H97"/>
      <c r="J97" s="68"/>
      <c r="K97" s="28"/>
      <c r="L97" s="28"/>
      <c r="M97" s="28"/>
      <c r="N97" s="28"/>
      <c r="O97" s="28"/>
      <c r="P97" s="29"/>
      <c r="Q97" s="54"/>
      <c r="R97" s="30"/>
    </row>
    <row r="98" spans="1:18" ht="15" customHeight="1" x14ac:dyDescent="0.3">
      <c r="A98" s="124">
        <v>45804</v>
      </c>
      <c r="B98" s="2"/>
      <c r="C98" s="2">
        <v>0</v>
      </c>
      <c r="D98" s="2">
        <v>6000</v>
      </c>
      <c r="E98" s="2">
        <v>29130</v>
      </c>
      <c r="F98" s="2">
        <f t="shared" si="4"/>
        <v>35130</v>
      </c>
      <c r="G98" s="2">
        <f t="shared" si="5"/>
        <v>-35130</v>
      </c>
      <c r="H98"/>
      <c r="J98" s="68"/>
      <c r="K98" s="28"/>
      <c r="L98" s="28"/>
      <c r="M98" s="28"/>
      <c r="N98" s="28"/>
      <c r="O98" s="28"/>
      <c r="P98" s="29"/>
      <c r="Q98" s="54"/>
      <c r="R98" s="30"/>
    </row>
    <row r="99" spans="1:18" ht="15" customHeight="1" x14ac:dyDescent="0.3">
      <c r="A99" s="124">
        <v>45805</v>
      </c>
      <c r="B99" s="2">
        <v>58600</v>
      </c>
      <c r="C99" s="2">
        <v>58600</v>
      </c>
      <c r="D99" s="2"/>
      <c r="E99" s="2">
        <f>11428+15952</f>
        <v>27380</v>
      </c>
      <c r="F99" s="2">
        <f t="shared" si="4"/>
        <v>27380</v>
      </c>
      <c r="G99" s="2">
        <f t="shared" si="5"/>
        <v>31220</v>
      </c>
      <c r="H99"/>
      <c r="J99" s="68"/>
      <c r="K99" s="28"/>
      <c r="L99" s="28"/>
      <c r="M99" s="28"/>
      <c r="N99" s="28"/>
      <c r="O99" s="28"/>
      <c r="P99" s="29"/>
      <c r="Q99" s="54"/>
      <c r="R99" s="30"/>
    </row>
    <row r="100" spans="1:18" ht="15" customHeight="1" x14ac:dyDescent="0.3">
      <c r="A100" s="124">
        <v>45806</v>
      </c>
      <c r="B100" s="2"/>
      <c r="C100" s="2">
        <v>0</v>
      </c>
      <c r="D100" s="2"/>
      <c r="E100" s="2"/>
      <c r="F100" s="2">
        <f t="shared" si="4"/>
        <v>0</v>
      </c>
      <c r="G100" s="2">
        <f t="shared" si="5"/>
        <v>0</v>
      </c>
      <c r="H100"/>
      <c r="J100" s="68"/>
      <c r="K100" s="28"/>
      <c r="L100" s="28"/>
      <c r="M100" s="28"/>
      <c r="N100" s="28"/>
      <c r="O100" s="28"/>
      <c r="P100" s="29"/>
      <c r="Q100" s="54"/>
      <c r="R100" s="30"/>
    </row>
    <row r="101" spans="1:18" ht="15" customHeight="1" x14ac:dyDescent="0.3">
      <c r="A101" s="124">
        <v>45807</v>
      </c>
      <c r="B101" s="2">
        <v>158400</v>
      </c>
      <c r="C101" s="2">
        <v>158400</v>
      </c>
      <c r="D101" s="2"/>
      <c r="E101" s="2"/>
      <c r="F101" s="2">
        <f t="shared" si="4"/>
        <v>0</v>
      </c>
      <c r="G101" s="2">
        <f t="shared" si="5"/>
        <v>158400</v>
      </c>
      <c r="H101"/>
      <c r="J101" s="68"/>
      <c r="K101" s="28"/>
      <c r="L101" s="28"/>
      <c r="M101" s="28"/>
      <c r="N101" s="28"/>
      <c r="O101" s="28"/>
      <c r="P101" s="29"/>
      <c r="Q101" s="54"/>
      <c r="R101" s="30"/>
    </row>
    <row r="102" spans="1:18" ht="15" customHeight="1" x14ac:dyDescent="0.3">
      <c r="A102" s="124">
        <v>45808</v>
      </c>
      <c r="B102" s="2">
        <v>16000</v>
      </c>
      <c r="C102" s="2">
        <v>16000</v>
      </c>
      <c r="D102" s="2">
        <v>35000</v>
      </c>
      <c r="E102" s="2"/>
      <c r="F102" s="2">
        <f t="shared" si="4"/>
        <v>35000</v>
      </c>
      <c r="G102" s="2">
        <f t="shared" si="5"/>
        <v>-19000</v>
      </c>
      <c r="H102"/>
      <c r="J102" s="68"/>
      <c r="K102" s="28"/>
      <c r="L102" s="28"/>
      <c r="M102" s="28"/>
      <c r="N102" s="28"/>
      <c r="O102" s="28"/>
      <c r="P102" s="29"/>
      <c r="Q102" s="54"/>
      <c r="R102" s="30"/>
    </row>
    <row r="103" spans="1:18" ht="15" customHeight="1" x14ac:dyDescent="0.3">
      <c r="A103" s="175" t="s">
        <v>58</v>
      </c>
      <c r="B103" s="2">
        <f t="shared" ref="B103:C103" si="6">SUM(B72:B102)</f>
        <v>5014515</v>
      </c>
      <c r="C103" s="2">
        <f t="shared" si="6"/>
        <v>5014515</v>
      </c>
      <c r="D103" s="2">
        <f>SUM(D72:D102)</f>
        <v>2918321</v>
      </c>
      <c r="E103" s="2">
        <f>SUM(E72:E102)</f>
        <v>908809</v>
      </c>
      <c r="F103" s="2">
        <f>SUM(F72:F102)</f>
        <v>3827130</v>
      </c>
      <c r="G103" s="2">
        <f>SUM(G72:G102)</f>
        <v>1187385</v>
      </c>
      <c r="H103"/>
      <c r="J103" s="68"/>
      <c r="K103" s="28"/>
      <c r="L103" s="28"/>
      <c r="M103" s="28"/>
      <c r="N103" s="28"/>
      <c r="O103" s="28"/>
      <c r="P103" s="29"/>
      <c r="Q103" s="54"/>
      <c r="R103" s="30"/>
    </row>
    <row r="104" spans="1:18" ht="15" customHeight="1" x14ac:dyDescent="0.3">
      <c r="A104" s="124"/>
      <c r="B104" s="2"/>
      <c r="C104" s="2"/>
      <c r="D104" s="2"/>
      <c r="E104" s="2"/>
      <c r="F104" s="2"/>
      <c r="G104" s="2"/>
      <c r="H104"/>
      <c r="J104" s="68"/>
      <c r="K104" s="28"/>
      <c r="L104" s="28"/>
      <c r="M104" s="28"/>
      <c r="N104" s="28"/>
      <c r="O104" s="28"/>
      <c r="P104" s="29"/>
      <c r="Q104" s="54"/>
      <c r="R104" s="30"/>
    </row>
    <row r="105" spans="1:18" ht="15" hidden="1" customHeight="1" x14ac:dyDescent="0.3">
      <c r="A105" s="124"/>
      <c r="B105" s="2"/>
      <c r="C105" s="2"/>
      <c r="D105" s="2"/>
      <c r="E105" s="2"/>
      <c r="F105" s="2"/>
      <c r="G105" s="2"/>
      <c r="H105"/>
      <c r="J105" s="68"/>
      <c r="K105" s="28"/>
      <c r="L105" s="28"/>
      <c r="M105" s="28"/>
      <c r="N105" s="28"/>
      <c r="O105" s="28"/>
      <c r="P105" s="29"/>
      <c r="Q105" s="54"/>
      <c r="R105" s="30"/>
    </row>
    <row r="106" spans="1:18" ht="15" hidden="1" customHeight="1" x14ac:dyDescent="0.3">
      <c r="A106" s="124"/>
      <c r="B106" s="2"/>
      <c r="C106" s="2"/>
      <c r="D106" s="2"/>
      <c r="E106" s="2"/>
      <c r="F106" s="2"/>
      <c r="G106" s="2"/>
      <c r="H106"/>
      <c r="J106" s="68"/>
      <c r="K106" s="28"/>
      <c r="L106" s="28"/>
      <c r="M106" s="28"/>
      <c r="N106" s="28"/>
      <c r="O106" s="28"/>
      <c r="P106" s="29"/>
      <c r="Q106" s="54"/>
      <c r="R106" s="30"/>
    </row>
    <row r="107" spans="1:18" ht="15" hidden="1" customHeight="1" x14ac:dyDescent="0.3">
      <c r="A107" s="124">
        <v>45748</v>
      </c>
      <c r="B107" s="2"/>
      <c r="C107" s="2">
        <v>0</v>
      </c>
      <c r="D107" s="2">
        <v>75733</v>
      </c>
      <c r="E107" s="2">
        <v>18980</v>
      </c>
      <c r="F107" s="2">
        <v>94713</v>
      </c>
      <c r="G107" s="2">
        <v>-94713</v>
      </c>
      <c r="H107" s="176"/>
      <c r="J107" s="68"/>
      <c r="K107" s="28"/>
      <c r="L107" s="28"/>
      <c r="M107" s="28"/>
      <c r="N107" s="28"/>
      <c r="O107" s="28"/>
      <c r="P107" s="29"/>
      <c r="Q107" s="54"/>
      <c r="R107" s="30"/>
    </row>
    <row r="108" spans="1:18" ht="15" hidden="1" customHeight="1" x14ac:dyDescent="0.3">
      <c r="A108" s="124">
        <v>45749</v>
      </c>
      <c r="B108" s="2">
        <v>67000</v>
      </c>
      <c r="C108" s="2">
        <v>67000</v>
      </c>
      <c r="D108" s="2"/>
      <c r="E108" s="2"/>
      <c r="F108" s="2">
        <v>0</v>
      </c>
      <c r="G108" s="2">
        <v>67000</v>
      </c>
      <c r="H108" s="176"/>
      <c r="J108" s="68"/>
      <c r="K108" s="28"/>
      <c r="L108" s="28"/>
      <c r="M108" s="28"/>
      <c r="N108" s="28"/>
      <c r="O108" s="28"/>
      <c r="P108" s="29"/>
      <c r="Q108" s="54"/>
      <c r="R108" s="30"/>
    </row>
    <row r="109" spans="1:18" ht="15" hidden="1" customHeight="1" x14ac:dyDescent="0.3">
      <c r="A109" s="124">
        <v>45750</v>
      </c>
      <c r="B109" s="2">
        <v>291883</v>
      </c>
      <c r="C109" s="2">
        <v>291883</v>
      </c>
      <c r="D109" s="2">
        <v>41780</v>
      </c>
      <c r="E109" s="2">
        <v>14100</v>
      </c>
      <c r="F109" s="2">
        <v>55880</v>
      </c>
      <c r="G109" s="2">
        <v>236003</v>
      </c>
      <c r="H109" s="176"/>
      <c r="J109" s="68"/>
      <c r="K109" s="28"/>
      <c r="L109" s="28"/>
      <c r="M109" s="28"/>
      <c r="N109" s="28"/>
      <c r="O109" s="28"/>
      <c r="P109" s="29"/>
      <c r="Q109" s="54"/>
      <c r="R109" s="30"/>
    </row>
    <row r="110" spans="1:18" ht="15" hidden="1" customHeight="1" x14ac:dyDescent="0.3">
      <c r="A110" s="124">
        <v>45751</v>
      </c>
      <c r="B110" s="2">
        <v>35000</v>
      </c>
      <c r="C110" s="2">
        <v>35000</v>
      </c>
      <c r="D110" s="2">
        <v>159990</v>
      </c>
      <c r="E110" s="2">
        <v>101476</v>
      </c>
      <c r="F110" s="2">
        <v>261466</v>
      </c>
      <c r="G110" s="2">
        <v>-226466</v>
      </c>
      <c r="H110" s="176"/>
      <c r="J110" s="68"/>
      <c r="K110" s="28"/>
      <c r="L110" s="28"/>
      <c r="M110" s="28"/>
      <c r="N110" s="28"/>
      <c r="O110" s="28"/>
      <c r="P110" s="29"/>
      <c r="Q110" s="54"/>
      <c r="R110" s="30"/>
    </row>
    <row r="111" spans="1:18" ht="15" hidden="1" customHeight="1" x14ac:dyDescent="0.3">
      <c r="A111" s="124">
        <v>45752</v>
      </c>
      <c r="B111" s="2">
        <v>141800</v>
      </c>
      <c r="C111" s="2">
        <v>141800</v>
      </c>
      <c r="D111" s="2">
        <v>836533</v>
      </c>
      <c r="E111" s="2"/>
      <c r="F111" s="2">
        <v>836533</v>
      </c>
      <c r="G111" s="2">
        <v>-694733</v>
      </c>
      <c r="H111" s="176"/>
      <c r="J111" s="68"/>
      <c r="K111" s="28"/>
      <c r="L111" s="28"/>
      <c r="M111" s="28"/>
      <c r="N111" s="28"/>
      <c r="O111" s="28"/>
      <c r="P111" s="29"/>
      <c r="Q111" s="54"/>
      <c r="R111" s="30"/>
    </row>
    <row r="112" spans="1:18" ht="15" hidden="1" customHeight="1" x14ac:dyDescent="0.3">
      <c r="A112" s="124">
        <v>45753</v>
      </c>
      <c r="B112" s="2">
        <v>73600</v>
      </c>
      <c r="C112" s="2">
        <v>73600</v>
      </c>
      <c r="D112" s="2">
        <v>114512</v>
      </c>
      <c r="E112" s="2">
        <v>42799</v>
      </c>
      <c r="F112" s="2">
        <v>157311</v>
      </c>
      <c r="G112" s="2">
        <v>-83711</v>
      </c>
      <c r="H112" s="176"/>
      <c r="J112" s="68"/>
      <c r="K112" s="28"/>
      <c r="L112" s="28"/>
      <c r="M112" s="28"/>
      <c r="N112" s="28"/>
      <c r="O112" s="28"/>
      <c r="P112" s="29"/>
      <c r="Q112" s="54"/>
      <c r="R112" s="30"/>
    </row>
    <row r="113" spans="1:18" ht="15" hidden="1" customHeight="1" x14ac:dyDescent="0.3">
      <c r="A113" s="124">
        <v>45754</v>
      </c>
      <c r="B113" s="2"/>
      <c r="C113" s="2">
        <v>0</v>
      </c>
      <c r="D113" s="2">
        <v>71960</v>
      </c>
      <c r="E113" s="2"/>
      <c r="F113" s="2">
        <v>71960</v>
      </c>
      <c r="G113" s="2">
        <v>-71960</v>
      </c>
      <c r="H113" s="176"/>
      <c r="J113" s="68"/>
      <c r="K113" s="28"/>
      <c r="L113" s="28"/>
      <c r="M113" s="28"/>
      <c r="N113" s="28"/>
      <c r="O113" s="28"/>
      <c r="P113" s="29"/>
      <c r="Q113" s="54"/>
      <c r="R113" s="30"/>
    </row>
    <row r="114" spans="1:18" ht="15" hidden="1" customHeight="1" x14ac:dyDescent="0.3">
      <c r="A114" s="124">
        <v>45755</v>
      </c>
      <c r="B114" s="2"/>
      <c r="C114" s="2">
        <v>0</v>
      </c>
      <c r="D114" s="2">
        <v>157480</v>
      </c>
      <c r="E114" s="2"/>
      <c r="F114" s="2">
        <v>157480</v>
      </c>
      <c r="G114" s="2">
        <v>-157480</v>
      </c>
      <c r="H114" s="176"/>
      <c r="J114" s="68"/>
      <c r="K114" s="28"/>
      <c r="L114" s="28"/>
      <c r="M114" s="28"/>
      <c r="N114" s="28"/>
      <c r="O114" s="28"/>
      <c r="P114" s="29"/>
      <c r="Q114" s="54"/>
      <c r="R114" s="30"/>
    </row>
    <row r="115" spans="1:18" ht="15" hidden="1" customHeight="1" x14ac:dyDescent="0.3">
      <c r="A115" s="124">
        <v>45756</v>
      </c>
      <c r="B115" s="2">
        <v>131000</v>
      </c>
      <c r="C115" s="2">
        <v>131000</v>
      </c>
      <c r="D115" s="2">
        <v>70000</v>
      </c>
      <c r="E115" s="2">
        <v>19101</v>
      </c>
      <c r="F115" s="2">
        <v>89101</v>
      </c>
      <c r="G115" s="2">
        <v>41899</v>
      </c>
      <c r="H115" s="176"/>
      <c r="J115" s="68"/>
      <c r="K115" s="28"/>
      <c r="L115" s="28"/>
      <c r="M115" s="28"/>
      <c r="N115" s="28"/>
      <c r="O115" s="28"/>
      <c r="P115" s="29"/>
      <c r="Q115" s="54"/>
      <c r="R115" s="30"/>
    </row>
    <row r="116" spans="1:18" ht="15" hidden="1" customHeight="1" x14ac:dyDescent="0.3">
      <c r="A116" s="124">
        <v>45757</v>
      </c>
      <c r="B116" s="2">
        <v>20000</v>
      </c>
      <c r="C116" s="2">
        <v>20000</v>
      </c>
      <c r="D116" s="2">
        <v>431607</v>
      </c>
      <c r="E116" s="2"/>
      <c r="F116" s="2">
        <v>431607</v>
      </c>
      <c r="G116" s="2">
        <v>-411607</v>
      </c>
      <c r="H116" s="176" t="s">
        <v>186</v>
      </c>
      <c r="J116" s="68"/>
      <c r="K116" s="28"/>
      <c r="L116" s="28"/>
      <c r="M116" s="28"/>
      <c r="N116" s="28"/>
      <c r="O116" s="28"/>
      <c r="P116" s="29"/>
      <c r="Q116" s="54"/>
      <c r="R116" s="30"/>
    </row>
    <row r="117" spans="1:18" ht="15" hidden="1" customHeight="1" x14ac:dyDescent="0.3">
      <c r="A117" s="124">
        <v>45758</v>
      </c>
      <c r="B117" s="2">
        <v>140406</v>
      </c>
      <c r="C117" s="2">
        <v>140406</v>
      </c>
      <c r="D117" s="2">
        <v>50000</v>
      </c>
      <c r="E117" s="2">
        <v>24182</v>
      </c>
      <c r="F117" s="2">
        <v>74182</v>
      </c>
      <c r="G117" s="2">
        <v>66224</v>
      </c>
      <c r="H117" s="176"/>
      <c r="J117" s="68"/>
      <c r="K117" s="28"/>
      <c r="L117" s="28"/>
      <c r="M117" s="28"/>
      <c r="N117" s="28"/>
      <c r="O117" s="28"/>
      <c r="P117" s="29"/>
      <c r="Q117" s="54"/>
      <c r="R117" s="30"/>
    </row>
    <row r="118" spans="1:18" ht="15" hidden="1" customHeight="1" x14ac:dyDescent="0.3">
      <c r="A118" s="124">
        <v>45759</v>
      </c>
      <c r="B118" s="2">
        <v>64000</v>
      </c>
      <c r="C118" s="2">
        <v>64000</v>
      </c>
      <c r="D118" s="2">
        <v>17150</v>
      </c>
      <c r="E118" s="2">
        <v>70077</v>
      </c>
      <c r="F118" s="2">
        <v>87227</v>
      </c>
      <c r="G118" s="2">
        <v>-23227</v>
      </c>
      <c r="H118" s="176"/>
      <c r="J118" s="68"/>
      <c r="K118" s="28"/>
      <c r="L118" s="28"/>
      <c r="M118" s="28"/>
      <c r="N118" s="28"/>
      <c r="O118" s="28"/>
      <c r="P118" s="29"/>
      <c r="Q118" s="54"/>
      <c r="R118" s="30"/>
    </row>
    <row r="119" spans="1:18" ht="15" hidden="1" customHeight="1" x14ac:dyDescent="0.3">
      <c r="A119" s="124">
        <v>45760</v>
      </c>
      <c r="B119" s="2"/>
      <c r="C119" s="2">
        <v>0</v>
      </c>
      <c r="D119" s="2"/>
      <c r="E119" s="2"/>
      <c r="F119" s="2">
        <v>0</v>
      </c>
      <c r="G119" s="2">
        <v>0</v>
      </c>
      <c r="H119" s="176"/>
      <c r="J119" s="68"/>
      <c r="K119" s="28"/>
      <c r="L119" s="28"/>
      <c r="M119" s="28"/>
      <c r="N119" s="28"/>
      <c r="O119" s="28"/>
      <c r="P119" s="29"/>
      <c r="Q119" s="54"/>
      <c r="R119" s="30"/>
    </row>
    <row r="120" spans="1:18" ht="15" hidden="1" customHeight="1" x14ac:dyDescent="0.3">
      <c r="A120" s="124">
        <v>45761</v>
      </c>
      <c r="B120" s="2">
        <v>443930</v>
      </c>
      <c r="C120" s="2">
        <v>443930</v>
      </c>
      <c r="D120" s="2">
        <v>50900</v>
      </c>
      <c r="E120" s="2">
        <v>14397</v>
      </c>
      <c r="F120" s="2"/>
      <c r="G120" s="2">
        <v>443930</v>
      </c>
      <c r="H120" s="176"/>
      <c r="J120" s="68"/>
      <c r="K120" s="28"/>
      <c r="L120" s="28"/>
      <c r="M120" s="28"/>
      <c r="N120" s="28"/>
      <c r="O120" s="28"/>
      <c r="P120" s="29"/>
      <c r="Q120" s="54"/>
      <c r="R120" s="30"/>
    </row>
    <row r="121" spans="1:18" ht="15" hidden="1" customHeight="1" x14ac:dyDescent="0.3">
      <c r="A121" s="124">
        <v>45762</v>
      </c>
      <c r="B121" s="2"/>
      <c r="C121" s="2">
        <v>0</v>
      </c>
      <c r="D121" s="2">
        <v>374000</v>
      </c>
      <c r="E121" s="2"/>
      <c r="F121" s="2">
        <v>374000</v>
      </c>
      <c r="G121" s="2">
        <v>-374000</v>
      </c>
      <c r="H121" s="176" t="s">
        <v>191</v>
      </c>
      <c r="J121" s="68"/>
      <c r="K121" s="28"/>
      <c r="L121" s="28"/>
      <c r="M121" s="28"/>
      <c r="N121" s="28"/>
      <c r="O121" s="28"/>
      <c r="P121" s="29"/>
      <c r="Q121" s="54"/>
      <c r="R121" s="30"/>
    </row>
    <row r="122" spans="1:18" ht="15" hidden="1" customHeight="1" x14ac:dyDescent="0.3">
      <c r="A122" s="124">
        <v>45763</v>
      </c>
      <c r="B122" s="2"/>
      <c r="C122" s="2">
        <v>0</v>
      </c>
      <c r="D122" s="2">
        <v>85000</v>
      </c>
      <c r="E122" s="2">
        <v>48490</v>
      </c>
      <c r="F122" s="2">
        <v>133490</v>
      </c>
      <c r="G122" s="2">
        <v>-133490</v>
      </c>
      <c r="H122" s="176" t="s">
        <v>251</v>
      </c>
      <c r="J122" s="68"/>
      <c r="K122" s="28"/>
      <c r="L122" s="28"/>
      <c r="M122" s="28"/>
      <c r="N122" s="28"/>
      <c r="O122" s="28"/>
      <c r="P122" s="29"/>
      <c r="Q122" s="54"/>
      <c r="R122" s="30"/>
    </row>
    <row r="123" spans="1:18" ht="15" hidden="1" customHeight="1" x14ac:dyDescent="0.3">
      <c r="A123" s="124">
        <v>45764</v>
      </c>
      <c r="B123" s="2">
        <v>573903</v>
      </c>
      <c r="C123" s="2">
        <v>573903</v>
      </c>
      <c r="D123" s="2"/>
      <c r="E123" s="2">
        <v>10869</v>
      </c>
      <c r="F123" s="2">
        <v>10869</v>
      </c>
      <c r="G123" s="2">
        <v>563034</v>
      </c>
      <c r="H123" s="176"/>
      <c r="J123" s="68"/>
      <c r="K123" s="28"/>
      <c r="L123" s="28"/>
      <c r="M123" s="28"/>
      <c r="N123" s="28"/>
      <c r="O123" s="28"/>
      <c r="P123" s="29"/>
      <c r="Q123" s="54"/>
      <c r="R123" s="30"/>
    </row>
    <row r="124" spans="1:18" ht="15" hidden="1" customHeight="1" x14ac:dyDescent="0.3">
      <c r="A124" s="124">
        <v>45765</v>
      </c>
      <c r="B124" s="2"/>
      <c r="C124" s="2">
        <v>0</v>
      </c>
      <c r="D124" s="2">
        <v>117160</v>
      </c>
      <c r="E124" s="2"/>
      <c r="F124" s="2">
        <v>117160</v>
      </c>
      <c r="G124" s="2">
        <v>-117160</v>
      </c>
      <c r="H124" s="176"/>
      <c r="J124" s="68"/>
      <c r="K124" s="28"/>
      <c r="L124" s="28"/>
      <c r="M124" s="28"/>
      <c r="N124" s="28"/>
      <c r="O124" s="28"/>
      <c r="P124" s="29"/>
      <c r="Q124" s="54"/>
      <c r="R124" s="30"/>
    </row>
    <row r="125" spans="1:18" ht="15" hidden="1" customHeight="1" x14ac:dyDescent="0.3">
      <c r="A125" s="124">
        <v>45766</v>
      </c>
      <c r="B125" s="2">
        <v>20000</v>
      </c>
      <c r="C125" s="2">
        <v>20000</v>
      </c>
      <c r="D125" s="2"/>
      <c r="E125" s="2"/>
      <c r="F125" s="2">
        <v>0</v>
      </c>
      <c r="G125" s="2">
        <v>20000</v>
      </c>
      <c r="H125" s="176"/>
      <c r="J125" s="68"/>
      <c r="K125" s="28"/>
      <c r="L125" s="28"/>
      <c r="M125" s="28"/>
      <c r="N125" s="28"/>
      <c r="O125" s="28"/>
      <c r="P125" s="29"/>
      <c r="Q125" s="54"/>
      <c r="R125" s="30"/>
    </row>
    <row r="126" spans="1:18" ht="15" hidden="1" customHeight="1" x14ac:dyDescent="0.3">
      <c r="A126" s="124">
        <v>45767</v>
      </c>
      <c r="B126" s="2">
        <v>20833</v>
      </c>
      <c r="C126" s="2">
        <v>20833</v>
      </c>
      <c r="D126" s="2">
        <v>35000</v>
      </c>
      <c r="E126" s="2"/>
      <c r="F126" s="2">
        <v>35000</v>
      </c>
      <c r="G126" s="2">
        <v>-14167</v>
      </c>
      <c r="H126" s="176"/>
      <c r="J126" s="68"/>
      <c r="K126" s="28"/>
      <c r="L126" s="28"/>
      <c r="M126" s="28"/>
      <c r="N126" s="28"/>
      <c r="O126" s="28"/>
      <c r="P126" s="29"/>
      <c r="Q126" s="54"/>
      <c r="R126" s="30"/>
    </row>
    <row r="127" spans="1:18" ht="15" hidden="1" customHeight="1" x14ac:dyDescent="0.3">
      <c r="A127" s="124">
        <v>45768</v>
      </c>
      <c r="B127" s="2">
        <v>25000</v>
      </c>
      <c r="C127" s="2">
        <v>25000</v>
      </c>
      <c r="D127" s="2"/>
      <c r="E127" s="2"/>
      <c r="F127" s="2">
        <v>0</v>
      </c>
      <c r="G127" s="2">
        <v>25000</v>
      </c>
      <c r="H127" s="176"/>
      <c r="J127" s="68"/>
      <c r="K127" s="28"/>
      <c r="L127" s="28"/>
      <c r="M127" s="28"/>
      <c r="N127" s="28"/>
      <c r="O127" s="28"/>
      <c r="P127" s="29"/>
      <c r="Q127" s="54"/>
      <c r="R127" s="30"/>
    </row>
    <row r="128" spans="1:18" ht="15" hidden="1" customHeight="1" x14ac:dyDescent="0.3">
      <c r="A128" s="124">
        <v>45769</v>
      </c>
      <c r="B128" s="2">
        <v>70000</v>
      </c>
      <c r="C128" s="2">
        <v>70000</v>
      </c>
      <c r="D128" s="2">
        <v>13060</v>
      </c>
      <c r="E128" s="2">
        <v>20000</v>
      </c>
      <c r="F128" s="2">
        <v>33060</v>
      </c>
      <c r="G128" s="2">
        <v>36940</v>
      </c>
      <c r="H128" s="176"/>
      <c r="J128" s="68"/>
      <c r="K128" s="28"/>
      <c r="L128" s="28"/>
      <c r="M128" s="28"/>
      <c r="N128" s="28"/>
      <c r="O128" s="28"/>
      <c r="P128" s="29"/>
      <c r="Q128" s="54"/>
      <c r="R128" s="30"/>
    </row>
    <row r="129" spans="1:18" ht="15" hidden="1" customHeight="1" x14ac:dyDescent="0.3">
      <c r="A129" s="124">
        <v>45770</v>
      </c>
      <c r="B129" s="2">
        <v>43200</v>
      </c>
      <c r="C129" s="2">
        <v>43200</v>
      </c>
      <c r="D129" s="2">
        <v>9400</v>
      </c>
      <c r="E129" s="2">
        <v>218054</v>
      </c>
      <c r="F129" s="2">
        <v>227454</v>
      </c>
      <c r="G129" s="2">
        <v>-184254</v>
      </c>
      <c r="H129" s="176"/>
      <c r="J129" s="68"/>
      <c r="K129" s="28"/>
      <c r="L129" s="28"/>
      <c r="M129" s="28"/>
      <c r="N129" s="28"/>
      <c r="O129" s="28"/>
      <c r="P129" s="29"/>
      <c r="Q129" s="54"/>
      <c r="R129" s="30"/>
    </row>
    <row r="130" spans="1:18" ht="15" hidden="1" customHeight="1" x14ac:dyDescent="0.3">
      <c r="A130" s="124">
        <v>45771</v>
      </c>
      <c r="B130" s="2">
        <v>78316</v>
      </c>
      <c r="C130" s="2">
        <v>78316</v>
      </c>
      <c r="D130" s="2">
        <v>95000</v>
      </c>
      <c r="E130" s="2"/>
      <c r="F130" s="2">
        <v>95000</v>
      </c>
      <c r="G130" s="2">
        <v>-16684</v>
      </c>
      <c r="H130" s="176"/>
      <c r="J130" s="68"/>
      <c r="K130" s="28"/>
      <c r="L130" s="28"/>
      <c r="M130" s="28"/>
      <c r="N130" s="28"/>
      <c r="O130" s="28"/>
      <c r="P130" s="29"/>
      <c r="Q130" s="54"/>
      <c r="R130" s="30"/>
    </row>
    <row r="131" spans="1:18" ht="15" hidden="1" customHeight="1" x14ac:dyDescent="0.3">
      <c r="A131" s="124">
        <v>45772</v>
      </c>
      <c r="B131" s="2">
        <v>28000</v>
      </c>
      <c r="C131" s="2">
        <v>28000</v>
      </c>
      <c r="D131" s="2">
        <v>42100</v>
      </c>
      <c r="E131" s="2"/>
      <c r="F131" s="2">
        <v>42100</v>
      </c>
      <c r="G131" s="2">
        <v>-14100</v>
      </c>
      <c r="H131" s="176"/>
      <c r="J131" s="68"/>
      <c r="K131" s="28"/>
      <c r="L131" s="28"/>
      <c r="M131" s="28"/>
      <c r="N131" s="28"/>
      <c r="O131" s="28"/>
      <c r="P131" s="29"/>
      <c r="Q131" s="54"/>
      <c r="R131" s="30"/>
    </row>
    <row r="132" spans="1:18" ht="15" hidden="1" customHeight="1" x14ac:dyDescent="0.3">
      <c r="A132" s="124">
        <v>45773</v>
      </c>
      <c r="B132" s="2">
        <v>97204</v>
      </c>
      <c r="C132" s="2">
        <v>97204</v>
      </c>
      <c r="D132" s="2"/>
      <c r="E132" s="2"/>
      <c r="F132" s="2">
        <v>0</v>
      </c>
      <c r="G132" s="2">
        <v>97204</v>
      </c>
      <c r="H132" s="176"/>
      <c r="J132" s="68"/>
      <c r="K132" s="28"/>
      <c r="L132" s="28"/>
      <c r="M132" s="28"/>
      <c r="N132" s="28"/>
      <c r="O132" s="28"/>
      <c r="P132" s="29"/>
      <c r="Q132" s="54"/>
      <c r="R132" s="30"/>
    </row>
    <row r="133" spans="1:18" ht="15" hidden="1" customHeight="1" x14ac:dyDescent="0.3">
      <c r="A133" s="124">
        <v>45774</v>
      </c>
      <c r="B133" s="2"/>
      <c r="C133" s="2">
        <v>0</v>
      </c>
      <c r="D133" s="2"/>
      <c r="E133" s="2"/>
      <c r="F133" s="2">
        <v>0</v>
      </c>
      <c r="G133" s="2">
        <v>0</v>
      </c>
      <c r="H133" s="176"/>
      <c r="J133" s="68"/>
      <c r="K133" s="28"/>
      <c r="L133" s="28"/>
      <c r="M133" s="28"/>
      <c r="N133" s="28"/>
      <c r="O133" s="28"/>
      <c r="P133" s="29"/>
      <c r="Q133" s="54"/>
      <c r="R133" s="30"/>
    </row>
    <row r="134" spans="1:18" ht="15" hidden="1" customHeight="1" x14ac:dyDescent="0.3">
      <c r="A134" s="124">
        <v>45775</v>
      </c>
      <c r="B134" s="2"/>
      <c r="C134" s="2">
        <v>0</v>
      </c>
      <c r="D134" s="2">
        <v>2000</v>
      </c>
      <c r="E134" s="2">
        <v>43757</v>
      </c>
      <c r="F134" s="2">
        <v>45757</v>
      </c>
      <c r="G134" s="2">
        <v>-45757</v>
      </c>
      <c r="H134" s="176"/>
      <c r="J134" s="68"/>
      <c r="K134" s="28"/>
      <c r="L134" s="28"/>
      <c r="M134" s="28"/>
      <c r="N134" s="28"/>
      <c r="O134" s="28"/>
      <c r="P134" s="29"/>
      <c r="Q134" s="54"/>
      <c r="R134" s="30"/>
    </row>
    <row r="135" spans="1:18" ht="15" hidden="1" customHeight="1" x14ac:dyDescent="0.3">
      <c r="A135" s="124">
        <v>45776</v>
      </c>
      <c r="B135" s="2">
        <v>749316</v>
      </c>
      <c r="C135" s="2">
        <v>749316</v>
      </c>
      <c r="D135" s="2">
        <v>53353</v>
      </c>
      <c r="E135" s="2">
        <v>45400</v>
      </c>
      <c r="F135" s="2">
        <v>98753</v>
      </c>
      <c r="G135" s="2">
        <v>650563</v>
      </c>
      <c r="H135" s="176"/>
      <c r="J135" s="68"/>
      <c r="K135" s="28"/>
      <c r="L135" s="28"/>
      <c r="M135" s="28"/>
      <c r="N135" s="28"/>
      <c r="O135" s="28"/>
      <c r="P135" s="29"/>
      <c r="Q135" s="54"/>
      <c r="R135" s="30"/>
    </row>
    <row r="136" spans="1:18" ht="15" hidden="1" customHeight="1" x14ac:dyDescent="0.3">
      <c r="A136" s="124">
        <v>45777</v>
      </c>
      <c r="B136" s="2">
        <v>132504</v>
      </c>
      <c r="C136" s="2">
        <v>132504</v>
      </c>
      <c r="D136" s="2">
        <v>21350</v>
      </c>
      <c r="E136" s="2">
        <v>3500</v>
      </c>
      <c r="F136" s="2">
        <v>24850</v>
      </c>
      <c r="G136" s="2">
        <v>107654</v>
      </c>
      <c r="H136" s="176" t="s">
        <v>191</v>
      </c>
      <c r="J136" s="68"/>
      <c r="K136" s="28"/>
      <c r="L136" s="28"/>
      <c r="M136" s="28"/>
      <c r="N136" s="28"/>
      <c r="O136" s="28"/>
      <c r="P136" s="29"/>
      <c r="Q136" s="54"/>
      <c r="R136" s="30"/>
    </row>
    <row r="137" spans="1:18" ht="15" hidden="1" customHeight="1" x14ac:dyDescent="0.3">
      <c r="A137" s="124"/>
      <c r="B137" s="2"/>
      <c r="C137" s="2"/>
      <c r="D137" s="2"/>
      <c r="E137" s="2"/>
      <c r="F137" s="2"/>
      <c r="G137" s="2"/>
      <c r="H137" s="176"/>
      <c r="J137" s="68"/>
      <c r="K137" s="28"/>
      <c r="L137" s="28"/>
      <c r="M137" s="28"/>
      <c r="N137" s="28"/>
      <c r="O137" s="28"/>
      <c r="P137" s="29"/>
      <c r="Q137" s="54"/>
      <c r="R137" s="30"/>
    </row>
    <row r="138" spans="1:18" ht="15" hidden="1" customHeight="1" x14ac:dyDescent="0.3">
      <c r="A138" s="175" t="s">
        <v>57</v>
      </c>
      <c r="B138" s="2">
        <v>3246895</v>
      </c>
      <c r="C138" s="2">
        <v>3246895</v>
      </c>
      <c r="D138" s="2">
        <v>2925068</v>
      </c>
      <c r="E138" s="2">
        <v>695182</v>
      </c>
      <c r="F138" s="2">
        <v>3620250</v>
      </c>
      <c r="G138" s="2">
        <v>-373355</v>
      </c>
      <c r="H138"/>
      <c r="J138" s="68"/>
      <c r="K138" s="28"/>
      <c r="L138" s="28"/>
      <c r="M138" s="28"/>
      <c r="N138" s="28"/>
      <c r="O138" s="28"/>
      <c r="P138" s="29"/>
      <c r="Q138" s="54"/>
      <c r="R138" s="30"/>
    </row>
    <row r="139" spans="1:18" ht="15" hidden="1" customHeight="1" x14ac:dyDescent="0.3">
      <c r="A139" s="124"/>
      <c r="B139" s="2"/>
      <c r="C139" s="2"/>
      <c r="D139" s="2"/>
      <c r="E139" s="2"/>
      <c r="F139" s="2"/>
      <c r="G139" s="2"/>
      <c r="H139"/>
      <c r="J139" s="68"/>
      <c r="K139" s="28"/>
      <c r="L139" s="28"/>
      <c r="M139" s="28"/>
      <c r="N139" s="28"/>
      <c r="O139" s="28"/>
      <c r="P139" s="29"/>
      <c r="Q139" s="54"/>
      <c r="R139" s="30"/>
    </row>
    <row r="140" spans="1:18" ht="15" hidden="1" customHeight="1" x14ac:dyDescent="0.3">
      <c r="A140" s="124"/>
      <c r="B140" s="2"/>
      <c r="C140" s="2"/>
      <c r="D140" s="2"/>
      <c r="E140" s="2"/>
      <c r="F140" s="2"/>
      <c r="G140" s="2"/>
      <c r="H140"/>
      <c r="J140" s="68"/>
      <c r="K140" s="28"/>
      <c r="L140" s="28"/>
      <c r="M140" s="28"/>
      <c r="N140" s="28"/>
      <c r="O140" s="28"/>
      <c r="P140" s="29"/>
      <c r="Q140" s="54"/>
      <c r="R140" s="30"/>
    </row>
    <row r="141" spans="1:18" ht="15" hidden="1" customHeight="1" x14ac:dyDescent="0.3">
      <c r="A141" s="124"/>
      <c r="B141" s="2"/>
      <c r="C141" s="2"/>
      <c r="D141" s="2"/>
      <c r="E141" s="2"/>
      <c r="F141" s="2"/>
      <c r="G141" s="2"/>
      <c r="H141"/>
      <c r="J141" s="68"/>
      <c r="K141" s="28"/>
      <c r="L141" s="28"/>
      <c r="M141" s="28"/>
      <c r="N141" s="28"/>
      <c r="O141" s="28"/>
      <c r="P141" s="29"/>
      <c r="Q141" s="54"/>
      <c r="R141" s="30"/>
    </row>
    <row r="142" spans="1:18" ht="15" hidden="1" customHeight="1" x14ac:dyDescent="0.3">
      <c r="A142" s="124"/>
      <c r="B142" s="2"/>
      <c r="C142" s="2"/>
      <c r="D142" s="2"/>
      <c r="E142" s="2"/>
      <c r="F142" s="2"/>
      <c r="G142" s="2"/>
      <c r="H142"/>
      <c r="J142" s="68"/>
      <c r="K142" s="28"/>
      <c r="L142" s="28"/>
      <c r="M142" s="28"/>
      <c r="N142" s="28"/>
      <c r="O142" s="28"/>
      <c r="P142" s="29"/>
      <c r="Q142" s="54"/>
      <c r="R142" s="30"/>
    </row>
    <row r="143" spans="1:18" ht="15" hidden="1" customHeight="1" x14ac:dyDescent="0.3">
      <c r="A143" s="124"/>
      <c r="B143" s="2"/>
      <c r="C143" s="2"/>
      <c r="D143" s="2"/>
      <c r="E143" s="2"/>
      <c r="F143" s="2"/>
      <c r="G143" s="2"/>
      <c r="H143"/>
      <c r="J143" s="68"/>
      <c r="K143" s="28"/>
      <c r="L143" s="28"/>
      <c r="M143" s="28"/>
      <c r="N143" s="28"/>
      <c r="O143" s="28"/>
      <c r="P143" s="29"/>
      <c r="Q143" s="54"/>
      <c r="R143" s="30"/>
    </row>
    <row r="144" spans="1:18" ht="15" hidden="1" customHeight="1" x14ac:dyDescent="0.3">
      <c r="A144" s="124"/>
      <c r="B144" s="2"/>
      <c r="C144" s="2"/>
      <c r="D144" s="2"/>
      <c r="E144" s="2"/>
      <c r="F144" s="2"/>
      <c r="G144" s="2"/>
      <c r="H144"/>
      <c r="J144" s="68"/>
      <c r="K144" s="28"/>
      <c r="L144" s="28"/>
      <c r="M144" s="28"/>
      <c r="N144" s="28"/>
      <c r="O144" s="28"/>
      <c r="P144" s="29"/>
      <c r="Q144" s="54"/>
      <c r="R144" s="30"/>
    </row>
    <row r="145" spans="1:18" ht="15" hidden="1" customHeight="1" x14ac:dyDescent="0.3">
      <c r="A145" s="124"/>
      <c r="B145" s="2"/>
      <c r="C145" s="2"/>
      <c r="D145" s="2"/>
      <c r="E145" s="2"/>
      <c r="F145" s="2"/>
      <c r="G145" s="2"/>
      <c r="H145"/>
      <c r="J145" s="68"/>
      <c r="K145" s="28"/>
      <c r="L145" s="28"/>
      <c r="M145" s="28"/>
      <c r="N145" s="28"/>
      <c r="O145" s="28"/>
      <c r="P145" s="29"/>
      <c r="Q145" s="54"/>
      <c r="R145" s="30"/>
    </row>
    <row r="146" spans="1:18" ht="15" hidden="1" customHeight="1" x14ac:dyDescent="0.3">
      <c r="A146" s="124">
        <v>45717</v>
      </c>
      <c r="B146" s="2"/>
      <c r="C146" s="2">
        <v>0</v>
      </c>
      <c r="D146" s="2">
        <v>26980</v>
      </c>
      <c r="E146" s="2"/>
      <c r="F146" s="2">
        <f>E146+D146</f>
        <v>26980</v>
      </c>
      <c r="G146" s="2">
        <f>C146-F146</f>
        <v>-26980</v>
      </c>
      <c r="H146" s="176"/>
      <c r="J146" s="68"/>
      <c r="K146" s="28"/>
      <c r="L146" s="28"/>
      <c r="M146" s="28"/>
      <c r="N146" s="28"/>
      <c r="O146" s="28"/>
      <c r="P146" s="29"/>
      <c r="Q146" s="54"/>
      <c r="R146" s="30"/>
    </row>
    <row r="147" spans="1:18" ht="15" hidden="1" customHeight="1" x14ac:dyDescent="0.3">
      <c r="A147" s="124">
        <v>45718</v>
      </c>
      <c r="B147" s="2">
        <v>65000</v>
      </c>
      <c r="C147" s="2">
        <f>B147</f>
        <v>65000</v>
      </c>
      <c r="D147" s="2"/>
      <c r="E147" s="2">
        <v>10000</v>
      </c>
      <c r="F147" s="2">
        <f t="shared" ref="F147:F176" si="7">E147+D147</f>
        <v>10000</v>
      </c>
      <c r="G147" s="2">
        <f t="shared" ref="G147:G176" si="8">C147-F147</f>
        <v>55000</v>
      </c>
      <c r="H147" s="176"/>
      <c r="J147" s="68"/>
      <c r="K147" s="28"/>
      <c r="L147" s="28"/>
      <c r="M147" s="28"/>
      <c r="N147" s="28"/>
      <c r="O147" s="28"/>
      <c r="P147" s="29"/>
      <c r="Q147" s="54"/>
      <c r="R147" s="30"/>
    </row>
    <row r="148" spans="1:18" ht="15" hidden="1" customHeight="1" x14ac:dyDescent="0.3">
      <c r="A148" s="124">
        <v>45719</v>
      </c>
      <c r="B148" s="2"/>
      <c r="C148" s="2">
        <f t="shared" ref="C148:C176" si="9">B148</f>
        <v>0</v>
      </c>
      <c r="D148" s="2"/>
      <c r="E148" s="2"/>
      <c r="F148" s="2">
        <f t="shared" si="7"/>
        <v>0</v>
      </c>
      <c r="G148" s="2">
        <f t="shared" si="8"/>
        <v>0</v>
      </c>
      <c r="H148" s="176"/>
      <c r="J148" s="68"/>
      <c r="K148" s="28"/>
      <c r="L148" s="28"/>
      <c r="M148" s="28"/>
      <c r="N148" s="28"/>
      <c r="O148" s="28"/>
      <c r="P148" s="29"/>
      <c r="Q148" s="54"/>
      <c r="R148" s="30"/>
    </row>
    <row r="149" spans="1:18" ht="15" hidden="1" customHeight="1" x14ac:dyDescent="0.3">
      <c r="A149" s="124">
        <v>45720</v>
      </c>
      <c r="B149" s="2"/>
      <c r="C149" s="2">
        <f t="shared" si="9"/>
        <v>0</v>
      </c>
      <c r="D149" s="2">
        <v>107970</v>
      </c>
      <c r="E149" s="2">
        <v>59621</v>
      </c>
      <c r="F149" s="2">
        <f t="shared" si="7"/>
        <v>167591</v>
      </c>
      <c r="G149" s="2">
        <f t="shared" si="8"/>
        <v>-167591</v>
      </c>
      <c r="H149" s="176"/>
      <c r="J149" s="68"/>
      <c r="K149" s="28"/>
      <c r="L149" s="28"/>
      <c r="M149" s="28"/>
      <c r="N149" s="28"/>
      <c r="O149" s="28"/>
      <c r="P149" s="29"/>
      <c r="Q149" s="54"/>
      <c r="R149" s="30"/>
    </row>
    <row r="150" spans="1:18" ht="15" hidden="1" customHeight="1" x14ac:dyDescent="0.3">
      <c r="A150" s="124">
        <v>45721</v>
      </c>
      <c r="B150" s="2">
        <v>712215</v>
      </c>
      <c r="C150" s="2">
        <f t="shared" si="9"/>
        <v>712215</v>
      </c>
      <c r="D150" s="2">
        <v>959000</v>
      </c>
      <c r="E150" s="2"/>
      <c r="F150" s="2">
        <f t="shared" si="7"/>
        <v>959000</v>
      </c>
      <c r="G150" s="2">
        <f t="shared" si="8"/>
        <v>-246785</v>
      </c>
      <c r="H150" s="176" t="s">
        <v>241</v>
      </c>
      <c r="J150" s="68"/>
      <c r="K150" s="28"/>
      <c r="L150" s="28"/>
      <c r="M150" s="28"/>
      <c r="N150" s="28"/>
      <c r="O150" s="28"/>
      <c r="P150" s="29"/>
      <c r="Q150" s="54"/>
      <c r="R150" s="30"/>
    </row>
    <row r="151" spans="1:18" ht="15" hidden="1" customHeight="1" x14ac:dyDescent="0.3">
      <c r="A151" s="124">
        <v>45722</v>
      </c>
      <c r="B151" s="2">
        <v>32401</v>
      </c>
      <c r="C151" s="2">
        <f t="shared" si="9"/>
        <v>32401</v>
      </c>
      <c r="D151" s="2">
        <v>20000</v>
      </c>
      <c r="E151" s="2">
        <v>45030</v>
      </c>
      <c r="F151" s="2">
        <f t="shared" si="7"/>
        <v>65030</v>
      </c>
      <c r="G151" s="2">
        <f t="shared" si="8"/>
        <v>-32629</v>
      </c>
      <c r="H151" s="176"/>
      <c r="J151" s="68"/>
      <c r="K151" s="28"/>
      <c r="L151" s="28"/>
      <c r="M151" s="28"/>
      <c r="N151" s="28"/>
      <c r="O151" s="28"/>
      <c r="P151" s="29"/>
      <c r="Q151" s="54"/>
      <c r="R151" s="30"/>
    </row>
    <row r="152" spans="1:18" ht="15" hidden="1" customHeight="1" x14ac:dyDescent="0.3">
      <c r="A152" s="124">
        <v>45723</v>
      </c>
      <c r="B152" s="2"/>
      <c r="C152" s="2">
        <f t="shared" si="9"/>
        <v>0</v>
      </c>
      <c r="D152" s="2">
        <v>83567</v>
      </c>
      <c r="E152" s="2">
        <v>51165</v>
      </c>
      <c r="F152" s="2">
        <f t="shared" si="7"/>
        <v>134732</v>
      </c>
      <c r="G152" s="2">
        <f t="shared" si="8"/>
        <v>-134732</v>
      </c>
      <c r="H152" s="176"/>
      <c r="J152" s="68"/>
      <c r="K152" s="28"/>
      <c r="L152" s="28"/>
      <c r="M152" s="28"/>
      <c r="N152" s="28"/>
      <c r="O152" s="28"/>
      <c r="P152" s="29"/>
      <c r="Q152" s="54"/>
      <c r="R152" s="30"/>
    </row>
    <row r="153" spans="1:18" ht="15" hidden="1" customHeight="1" x14ac:dyDescent="0.3">
      <c r="A153" s="124">
        <v>45724</v>
      </c>
      <c r="B153" s="2"/>
      <c r="C153" s="2">
        <f t="shared" si="9"/>
        <v>0</v>
      </c>
      <c r="D153" s="2"/>
      <c r="E153" s="2">
        <v>52993</v>
      </c>
      <c r="F153" s="2">
        <f t="shared" si="7"/>
        <v>52993</v>
      </c>
      <c r="G153" s="2">
        <f t="shared" si="8"/>
        <v>-52993</v>
      </c>
      <c r="H153" s="176"/>
      <c r="J153" s="68"/>
      <c r="K153" s="28"/>
      <c r="L153" s="28"/>
      <c r="M153" s="28"/>
      <c r="N153" s="28"/>
      <c r="O153" s="28"/>
      <c r="P153" s="29"/>
      <c r="Q153" s="54"/>
      <c r="R153" s="30"/>
    </row>
    <row r="154" spans="1:18" ht="15" hidden="1" customHeight="1" x14ac:dyDescent="0.3">
      <c r="A154" s="124">
        <v>45725</v>
      </c>
      <c r="B154" s="2">
        <v>60000</v>
      </c>
      <c r="C154" s="2">
        <f t="shared" si="9"/>
        <v>60000</v>
      </c>
      <c r="D154" s="2">
        <v>25000</v>
      </c>
      <c r="E154" s="2"/>
      <c r="F154" s="2">
        <f t="shared" si="7"/>
        <v>25000</v>
      </c>
      <c r="G154" s="2">
        <f t="shared" si="8"/>
        <v>35000</v>
      </c>
      <c r="H154" s="176"/>
      <c r="J154" s="68"/>
      <c r="K154" s="28"/>
      <c r="L154" s="28"/>
      <c r="M154" s="28"/>
      <c r="N154" s="28"/>
      <c r="O154" s="28"/>
      <c r="P154" s="29"/>
      <c r="Q154" s="54"/>
      <c r="R154" s="30"/>
    </row>
    <row r="155" spans="1:18" ht="15" hidden="1" customHeight="1" x14ac:dyDescent="0.3">
      <c r="A155" s="124">
        <v>45726</v>
      </c>
      <c r="B155" s="2">
        <v>36500</v>
      </c>
      <c r="C155" s="2">
        <f t="shared" si="9"/>
        <v>36500</v>
      </c>
      <c r="D155" s="2">
        <v>85000</v>
      </c>
      <c r="E155" s="2">
        <v>15545</v>
      </c>
      <c r="F155" s="2">
        <f t="shared" si="7"/>
        <v>100545</v>
      </c>
      <c r="G155" s="2">
        <f t="shared" si="8"/>
        <v>-64045</v>
      </c>
      <c r="H155" s="176" t="s">
        <v>251</v>
      </c>
      <c r="J155" s="68"/>
      <c r="K155" s="28"/>
      <c r="L155" s="28"/>
      <c r="M155" s="28"/>
      <c r="N155" s="28"/>
      <c r="O155" s="28"/>
      <c r="P155" s="29"/>
      <c r="Q155" s="54"/>
      <c r="R155" s="30"/>
    </row>
    <row r="156" spans="1:18" ht="15" hidden="1" customHeight="1" x14ac:dyDescent="0.3">
      <c r="A156" s="124">
        <v>45727</v>
      </c>
      <c r="B156" s="2">
        <v>20000</v>
      </c>
      <c r="C156" s="2">
        <f t="shared" si="9"/>
        <v>20000</v>
      </c>
      <c r="D156" s="2">
        <v>125600</v>
      </c>
      <c r="E156" s="2">
        <v>7326</v>
      </c>
      <c r="F156" s="2">
        <f t="shared" si="7"/>
        <v>132926</v>
      </c>
      <c r="G156" s="2">
        <f t="shared" si="8"/>
        <v>-112926</v>
      </c>
      <c r="H156" s="176"/>
      <c r="J156" s="68"/>
      <c r="K156" s="28"/>
      <c r="L156" s="28"/>
      <c r="M156" s="28"/>
      <c r="N156" s="28"/>
      <c r="O156" s="28"/>
      <c r="P156" s="29"/>
      <c r="Q156" s="54"/>
      <c r="R156" s="30"/>
    </row>
    <row r="157" spans="1:18" ht="15" hidden="1" customHeight="1" x14ac:dyDescent="0.3">
      <c r="A157" s="124">
        <v>45728</v>
      </c>
      <c r="B157" s="2">
        <v>86404</v>
      </c>
      <c r="C157" s="2">
        <f t="shared" si="9"/>
        <v>86404</v>
      </c>
      <c r="D157" s="2">
        <v>8432</v>
      </c>
      <c r="E157" s="2">
        <v>26123</v>
      </c>
      <c r="F157" s="2">
        <f t="shared" si="7"/>
        <v>34555</v>
      </c>
      <c r="G157" s="2">
        <f t="shared" si="8"/>
        <v>51849</v>
      </c>
      <c r="H157" s="176"/>
      <c r="J157" s="68"/>
      <c r="K157" s="28"/>
      <c r="L157" s="28"/>
      <c r="M157" s="28"/>
      <c r="N157" s="28"/>
      <c r="O157" s="28"/>
      <c r="P157" s="29"/>
      <c r="Q157" s="54"/>
      <c r="R157" s="30"/>
    </row>
    <row r="158" spans="1:18" ht="15" hidden="1" customHeight="1" x14ac:dyDescent="0.3">
      <c r="A158" s="124">
        <v>45729</v>
      </c>
      <c r="B158" s="2">
        <v>20000</v>
      </c>
      <c r="C158" s="2">
        <f t="shared" si="9"/>
        <v>20000</v>
      </c>
      <c r="D158" s="2">
        <v>43821</v>
      </c>
      <c r="E158" s="2"/>
      <c r="F158" s="2">
        <f t="shared" si="7"/>
        <v>43821</v>
      </c>
      <c r="G158" s="2">
        <f t="shared" si="8"/>
        <v>-23821</v>
      </c>
      <c r="H158" s="176"/>
      <c r="J158" s="68"/>
      <c r="K158" s="28"/>
      <c r="L158" s="28"/>
      <c r="M158" s="28"/>
      <c r="N158" s="28"/>
      <c r="O158" s="28"/>
      <c r="P158" s="29"/>
      <c r="Q158" s="54"/>
      <c r="R158" s="30"/>
    </row>
    <row r="159" spans="1:18" ht="15" hidden="1" customHeight="1" x14ac:dyDescent="0.3">
      <c r="A159" s="124">
        <v>45730</v>
      </c>
      <c r="B159" s="2"/>
      <c r="C159" s="2">
        <f t="shared" si="9"/>
        <v>0</v>
      </c>
      <c r="D159" s="2">
        <v>8000</v>
      </c>
      <c r="E159" s="2">
        <f>40350+16476</f>
        <v>56826</v>
      </c>
      <c r="F159" s="2">
        <f t="shared" si="7"/>
        <v>64826</v>
      </c>
      <c r="G159" s="2">
        <f t="shared" si="8"/>
        <v>-64826</v>
      </c>
      <c r="H159" s="176"/>
      <c r="J159" s="68"/>
      <c r="K159" s="28"/>
      <c r="L159" s="28"/>
      <c r="M159" s="28"/>
      <c r="N159" s="28"/>
      <c r="O159" s="28"/>
      <c r="P159" s="29"/>
      <c r="Q159" s="54"/>
      <c r="R159" s="30"/>
    </row>
    <row r="160" spans="1:18" ht="15" hidden="1" customHeight="1" x14ac:dyDescent="0.3">
      <c r="A160" s="124">
        <v>45731</v>
      </c>
      <c r="B160" s="2"/>
      <c r="C160" s="2">
        <f t="shared" si="9"/>
        <v>0</v>
      </c>
      <c r="D160" s="2"/>
      <c r="E160" s="2"/>
      <c r="F160" s="2">
        <f t="shared" si="7"/>
        <v>0</v>
      </c>
      <c r="G160" s="2">
        <f t="shared" si="8"/>
        <v>0</v>
      </c>
      <c r="H160" s="176"/>
      <c r="J160" s="68"/>
      <c r="K160" s="28"/>
      <c r="L160" s="28"/>
      <c r="M160" s="28"/>
      <c r="N160" s="28"/>
      <c r="O160" s="28"/>
      <c r="P160" s="29"/>
      <c r="Q160" s="54"/>
      <c r="R160" s="30"/>
    </row>
    <row r="161" spans="1:18" ht="15" hidden="1" customHeight="1" x14ac:dyDescent="0.3">
      <c r="A161" s="124">
        <v>45732</v>
      </c>
      <c r="B161" s="2">
        <v>116000</v>
      </c>
      <c r="C161" s="2">
        <f t="shared" si="9"/>
        <v>116000</v>
      </c>
      <c r="D161" s="2"/>
      <c r="E161" s="2"/>
      <c r="F161" s="2">
        <f t="shared" si="7"/>
        <v>0</v>
      </c>
      <c r="G161" s="2">
        <f t="shared" si="8"/>
        <v>116000</v>
      </c>
      <c r="H161" s="56"/>
      <c r="J161" s="68"/>
      <c r="K161" s="28"/>
      <c r="L161" s="28"/>
      <c r="M161" s="28"/>
      <c r="N161" s="28"/>
      <c r="O161" s="28"/>
      <c r="P161" s="29"/>
      <c r="Q161" s="54"/>
      <c r="R161" s="30"/>
    </row>
    <row r="162" spans="1:18" ht="15" hidden="1" customHeight="1" x14ac:dyDescent="0.3">
      <c r="A162" s="124">
        <v>45733</v>
      </c>
      <c r="B162" s="2">
        <v>199500</v>
      </c>
      <c r="C162" s="2">
        <f t="shared" si="9"/>
        <v>199500</v>
      </c>
      <c r="D162" s="2">
        <v>50181</v>
      </c>
      <c r="E162" s="2"/>
      <c r="F162" s="2">
        <f t="shared" si="7"/>
        <v>50181</v>
      </c>
      <c r="G162" s="2">
        <f t="shared" si="8"/>
        <v>149319</v>
      </c>
      <c r="H162" s="176" t="s">
        <v>218</v>
      </c>
      <c r="J162" s="68"/>
      <c r="K162" s="28"/>
      <c r="L162" s="28"/>
      <c r="M162" s="28"/>
      <c r="N162" s="28"/>
      <c r="O162" s="28"/>
      <c r="P162" s="29"/>
      <c r="Q162" s="54"/>
      <c r="R162" s="30"/>
    </row>
    <row r="163" spans="1:18" ht="15" hidden="1" customHeight="1" x14ac:dyDescent="0.3">
      <c r="A163" s="124">
        <v>45734</v>
      </c>
      <c r="B163" s="2">
        <v>97204</v>
      </c>
      <c r="C163" s="2">
        <f t="shared" si="9"/>
        <v>97204</v>
      </c>
      <c r="D163" s="2"/>
      <c r="E163" s="2">
        <v>81252</v>
      </c>
      <c r="F163" s="2">
        <f t="shared" si="7"/>
        <v>81252</v>
      </c>
      <c r="G163" s="2">
        <f t="shared" si="8"/>
        <v>15952</v>
      </c>
      <c r="H163" s="176"/>
      <c r="J163" s="68"/>
      <c r="K163" s="28"/>
      <c r="L163" s="28"/>
      <c r="M163" s="28"/>
      <c r="N163" s="28"/>
      <c r="O163" s="28"/>
      <c r="P163" s="29"/>
      <c r="Q163" s="54"/>
      <c r="R163" s="30"/>
    </row>
    <row r="164" spans="1:18" ht="15" hidden="1" customHeight="1" x14ac:dyDescent="0.3">
      <c r="A164" s="124">
        <v>45735</v>
      </c>
      <c r="B164" s="2"/>
      <c r="C164" s="2">
        <f t="shared" si="9"/>
        <v>0</v>
      </c>
      <c r="D164" s="2"/>
      <c r="E164" s="2">
        <v>76009</v>
      </c>
      <c r="F164" s="2">
        <f t="shared" si="7"/>
        <v>76009</v>
      </c>
      <c r="G164" s="2">
        <f t="shared" si="8"/>
        <v>-76009</v>
      </c>
      <c r="H164" s="176"/>
      <c r="J164" s="68"/>
      <c r="K164" s="28"/>
      <c r="L164" s="28"/>
      <c r="M164" s="28"/>
      <c r="N164" s="28"/>
      <c r="O164" s="28"/>
      <c r="P164" s="29"/>
      <c r="Q164" s="54"/>
      <c r="R164" s="30"/>
    </row>
    <row r="165" spans="1:18" ht="15" hidden="1" customHeight="1" x14ac:dyDescent="0.3">
      <c r="A165" s="124">
        <v>45736</v>
      </c>
      <c r="B165" s="2"/>
      <c r="C165" s="2">
        <f t="shared" si="9"/>
        <v>0</v>
      </c>
      <c r="D165" s="2">
        <v>70000</v>
      </c>
      <c r="E165" s="2">
        <v>39950</v>
      </c>
      <c r="F165" s="2">
        <f t="shared" si="7"/>
        <v>109950</v>
      </c>
      <c r="G165" s="2">
        <f t="shared" si="8"/>
        <v>-109950</v>
      </c>
      <c r="H165" s="176"/>
      <c r="J165" s="68"/>
      <c r="K165" s="28"/>
      <c r="L165" s="28"/>
      <c r="M165" s="28"/>
      <c r="N165" s="28"/>
      <c r="O165" s="28"/>
      <c r="P165" s="29"/>
      <c r="Q165" s="54"/>
      <c r="R165" s="30"/>
    </row>
    <row r="166" spans="1:18" ht="15" hidden="1" customHeight="1" x14ac:dyDescent="0.3">
      <c r="A166" s="124">
        <v>45737</v>
      </c>
      <c r="B166" s="2"/>
      <c r="C166" s="2">
        <f t="shared" si="9"/>
        <v>0</v>
      </c>
      <c r="D166" s="2"/>
      <c r="E166" s="2"/>
      <c r="F166" s="2">
        <f t="shared" si="7"/>
        <v>0</v>
      </c>
      <c r="G166" s="2">
        <f t="shared" si="8"/>
        <v>0</v>
      </c>
      <c r="H166" s="176"/>
      <c r="J166" s="68"/>
      <c r="K166" s="28"/>
      <c r="L166" s="28"/>
      <c r="M166" s="28"/>
      <c r="N166" s="28"/>
      <c r="O166" s="28"/>
      <c r="P166" s="29"/>
      <c r="Q166" s="54"/>
      <c r="R166" s="30"/>
    </row>
    <row r="167" spans="1:18" ht="15" hidden="1" customHeight="1" x14ac:dyDescent="0.3">
      <c r="A167" s="124">
        <v>45738</v>
      </c>
      <c r="B167" s="2"/>
      <c r="C167" s="2">
        <f t="shared" si="9"/>
        <v>0</v>
      </c>
      <c r="D167" s="2"/>
      <c r="E167" s="2"/>
      <c r="F167" s="2">
        <f t="shared" si="7"/>
        <v>0</v>
      </c>
      <c r="G167" s="2">
        <f t="shared" si="8"/>
        <v>0</v>
      </c>
      <c r="H167" s="176"/>
      <c r="J167" s="68"/>
      <c r="K167" s="28"/>
      <c r="L167" s="28"/>
      <c r="M167" s="28"/>
      <c r="N167" s="28"/>
      <c r="O167" s="28"/>
      <c r="P167" s="29"/>
      <c r="Q167" s="54"/>
      <c r="R167" s="30"/>
    </row>
    <row r="168" spans="1:18" ht="15" hidden="1" customHeight="1" x14ac:dyDescent="0.3">
      <c r="A168" s="124">
        <v>45739</v>
      </c>
      <c r="B168" s="2">
        <v>60000</v>
      </c>
      <c r="C168" s="2">
        <f t="shared" si="9"/>
        <v>60000</v>
      </c>
      <c r="D168" s="2"/>
      <c r="E168" s="2"/>
      <c r="F168" s="2">
        <f t="shared" si="7"/>
        <v>0</v>
      </c>
      <c r="G168" s="2">
        <f t="shared" si="8"/>
        <v>60000</v>
      </c>
      <c r="H168" s="176"/>
      <c r="J168" s="68"/>
      <c r="K168" s="28"/>
      <c r="L168" s="28"/>
      <c r="M168" s="28"/>
      <c r="N168" s="28"/>
      <c r="O168" s="28"/>
      <c r="P168" s="29"/>
      <c r="Q168" s="54"/>
      <c r="R168" s="30"/>
    </row>
    <row r="169" spans="1:18" ht="15" hidden="1" customHeight="1" x14ac:dyDescent="0.3">
      <c r="A169" s="124">
        <v>45740</v>
      </c>
      <c r="B169" s="2"/>
      <c r="C169" s="2">
        <f t="shared" si="9"/>
        <v>0</v>
      </c>
      <c r="D169" s="2"/>
      <c r="E169" s="2">
        <v>213704</v>
      </c>
      <c r="F169" s="2">
        <f t="shared" si="7"/>
        <v>213704</v>
      </c>
      <c r="G169" s="2">
        <f t="shared" si="8"/>
        <v>-213704</v>
      </c>
      <c r="H169" s="176"/>
      <c r="J169" s="68"/>
      <c r="K169" s="28"/>
      <c r="L169" s="28"/>
      <c r="M169" s="28"/>
      <c r="N169" s="28"/>
      <c r="O169" s="28"/>
      <c r="P169" s="29"/>
      <c r="Q169" s="54"/>
      <c r="R169" s="30"/>
    </row>
    <row r="170" spans="1:18" ht="15" hidden="1" customHeight="1" x14ac:dyDescent="0.3">
      <c r="A170" s="124">
        <v>45741</v>
      </c>
      <c r="B170" s="2"/>
      <c r="C170" s="2">
        <f t="shared" si="9"/>
        <v>0</v>
      </c>
      <c r="D170" s="2">
        <v>44407</v>
      </c>
      <c r="E170" s="2"/>
      <c r="F170" s="2">
        <f t="shared" si="7"/>
        <v>44407</v>
      </c>
      <c r="G170" s="2">
        <f t="shared" si="8"/>
        <v>-44407</v>
      </c>
      <c r="H170" s="176"/>
      <c r="J170" s="68"/>
      <c r="K170" s="28"/>
      <c r="L170" s="28"/>
      <c r="M170" s="28"/>
      <c r="N170" s="28"/>
      <c r="O170" s="28"/>
      <c r="P170" s="29"/>
      <c r="Q170" s="54"/>
      <c r="R170" s="30"/>
    </row>
    <row r="171" spans="1:18" ht="15" hidden="1" customHeight="1" x14ac:dyDescent="0.3">
      <c r="A171" s="124">
        <v>45742</v>
      </c>
      <c r="B171" s="2">
        <v>32401</v>
      </c>
      <c r="C171" s="2">
        <f t="shared" si="9"/>
        <v>32401</v>
      </c>
      <c r="D171" s="2">
        <v>15000</v>
      </c>
      <c r="E171" s="2">
        <f>225791+34920+10000</f>
        <v>270711</v>
      </c>
      <c r="F171" s="2">
        <f t="shared" si="7"/>
        <v>285711</v>
      </c>
      <c r="G171" s="2">
        <f t="shared" si="8"/>
        <v>-253310</v>
      </c>
      <c r="H171" s="176"/>
      <c r="J171" s="68"/>
      <c r="K171" s="28"/>
      <c r="L171" s="28"/>
      <c r="M171" s="28"/>
      <c r="N171" s="28"/>
      <c r="O171" s="28"/>
      <c r="P171" s="29"/>
      <c r="Q171" s="54"/>
      <c r="R171" s="30"/>
    </row>
    <row r="172" spans="1:18" ht="15" hidden="1" customHeight="1" x14ac:dyDescent="0.3">
      <c r="A172" s="124">
        <v>45743</v>
      </c>
      <c r="B172" s="2"/>
      <c r="C172" s="2">
        <f t="shared" si="9"/>
        <v>0</v>
      </c>
      <c r="D172" s="2"/>
      <c r="E172" s="2">
        <v>12251</v>
      </c>
      <c r="F172" s="2">
        <f t="shared" si="7"/>
        <v>12251</v>
      </c>
      <c r="G172" s="2">
        <f t="shared" si="8"/>
        <v>-12251</v>
      </c>
      <c r="H172" s="176"/>
      <c r="J172" s="68"/>
      <c r="K172" s="28"/>
      <c r="L172" s="28"/>
      <c r="M172" s="28"/>
      <c r="N172" s="28"/>
      <c r="O172" s="28"/>
      <c r="P172" s="29"/>
      <c r="Q172" s="54"/>
      <c r="R172" s="30"/>
    </row>
    <row r="173" spans="1:18" ht="15" hidden="1" customHeight="1" x14ac:dyDescent="0.3">
      <c r="A173" s="124">
        <v>45744</v>
      </c>
      <c r="B173" s="2">
        <v>120000</v>
      </c>
      <c r="C173" s="2">
        <f t="shared" si="9"/>
        <v>120000</v>
      </c>
      <c r="D173" s="2"/>
      <c r="E173" s="2">
        <v>20105</v>
      </c>
      <c r="F173" s="2">
        <f t="shared" si="7"/>
        <v>20105</v>
      </c>
      <c r="G173" s="2">
        <f t="shared" si="8"/>
        <v>99895</v>
      </c>
      <c r="H173" s="176"/>
      <c r="J173" s="68"/>
      <c r="K173" s="28"/>
      <c r="L173" s="28"/>
      <c r="M173" s="28"/>
      <c r="N173" s="28"/>
      <c r="O173" s="28"/>
      <c r="P173" s="29"/>
      <c r="Q173" s="54"/>
      <c r="R173" s="30"/>
    </row>
    <row r="174" spans="1:18" ht="15" hidden="1" customHeight="1" x14ac:dyDescent="0.3">
      <c r="A174" s="124">
        <v>45745</v>
      </c>
      <c r="B174" s="2"/>
      <c r="C174" s="2">
        <f t="shared" si="9"/>
        <v>0</v>
      </c>
      <c r="D174" s="2">
        <v>20000</v>
      </c>
      <c r="E174" s="2"/>
      <c r="F174" s="2">
        <f t="shared" si="7"/>
        <v>20000</v>
      </c>
      <c r="G174" s="2">
        <f t="shared" si="8"/>
        <v>-20000</v>
      </c>
      <c r="H174" s="176"/>
      <c r="J174" s="68"/>
      <c r="K174" s="28"/>
      <c r="L174" s="28"/>
      <c r="M174" s="28"/>
      <c r="N174" s="28"/>
      <c r="O174" s="28"/>
      <c r="P174" s="29"/>
      <c r="Q174" s="54"/>
      <c r="R174" s="30"/>
    </row>
    <row r="175" spans="1:18" ht="15" hidden="1" customHeight="1" x14ac:dyDescent="0.3">
      <c r="A175" s="124">
        <v>45746</v>
      </c>
      <c r="B175" s="2"/>
      <c r="C175" s="2">
        <f t="shared" si="9"/>
        <v>0</v>
      </c>
      <c r="D175" s="2">
        <v>20000</v>
      </c>
      <c r="E175" s="2"/>
      <c r="F175" s="2">
        <f t="shared" si="7"/>
        <v>20000</v>
      </c>
      <c r="G175" s="2">
        <f t="shared" si="8"/>
        <v>-20000</v>
      </c>
      <c r="H175" s="176"/>
      <c r="J175" s="68"/>
      <c r="K175" s="28"/>
      <c r="L175" s="28"/>
      <c r="M175" s="28"/>
      <c r="N175" s="28"/>
      <c r="O175" s="28"/>
      <c r="P175" s="29"/>
      <c r="Q175" s="54"/>
      <c r="R175" s="30"/>
    </row>
    <row r="176" spans="1:18" ht="15" hidden="1" customHeight="1" x14ac:dyDescent="0.3">
      <c r="A176" s="124">
        <v>45747</v>
      </c>
      <c r="B176" s="2"/>
      <c r="C176" s="2">
        <f t="shared" si="9"/>
        <v>0</v>
      </c>
      <c r="D176" s="2"/>
      <c r="E176" s="2">
        <v>2539</v>
      </c>
      <c r="F176" s="2">
        <f t="shared" si="7"/>
        <v>2539</v>
      </c>
      <c r="G176" s="2">
        <f t="shared" si="8"/>
        <v>-2539</v>
      </c>
      <c r="H176"/>
      <c r="J176" s="68"/>
      <c r="K176" s="28"/>
      <c r="L176" s="28"/>
      <c r="M176" s="28"/>
      <c r="N176" s="28"/>
      <c r="O176" s="28"/>
      <c r="P176" s="29"/>
      <c r="Q176" s="54"/>
      <c r="R176" s="30"/>
    </row>
    <row r="177" spans="1:18" ht="15" hidden="1" customHeight="1" x14ac:dyDescent="0.3">
      <c r="A177" s="175" t="s">
        <v>56</v>
      </c>
      <c r="B177" s="2">
        <f>SUM(B146:B176)</f>
        <v>1657625</v>
      </c>
      <c r="C177" s="2">
        <f>SUM(C146:C176)</f>
        <v>1657625</v>
      </c>
      <c r="D177" s="2">
        <f>SUM(D146:D176)</f>
        <v>1712958</v>
      </c>
      <c r="E177" s="2">
        <f>SUM(E146:E176)</f>
        <v>1041150</v>
      </c>
      <c r="F177" s="2">
        <f>SUM(F146:F176)</f>
        <v>2754108</v>
      </c>
      <c r="G177" s="136">
        <f>C177-F177</f>
        <v>-1096483</v>
      </c>
      <c r="H177"/>
      <c r="J177" s="68"/>
      <c r="K177" s="28"/>
      <c r="L177" s="28"/>
      <c r="M177" s="28"/>
      <c r="N177" s="28"/>
      <c r="O177" s="28"/>
      <c r="P177" s="29"/>
      <c r="Q177" s="54"/>
      <c r="R177" s="30"/>
    </row>
    <row r="178" spans="1:18" ht="15" hidden="1" customHeight="1" x14ac:dyDescent="0.3">
      <c r="A178" s="124"/>
      <c r="B178" s="2"/>
      <c r="C178" s="2"/>
      <c r="D178" s="2"/>
      <c r="E178" s="2"/>
      <c r="F178" s="2"/>
      <c r="G178" s="2"/>
      <c r="H178"/>
      <c r="J178" s="68"/>
      <c r="K178" s="28"/>
      <c r="L178" s="28"/>
      <c r="M178" s="28"/>
      <c r="N178" s="28"/>
      <c r="O178" s="28"/>
      <c r="P178" s="29"/>
      <c r="Q178" s="54"/>
      <c r="R178" s="30"/>
    </row>
    <row r="179" spans="1:18" ht="15" hidden="1" customHeight="1" x14ac:dyDescent="0.3">
      <c r="A179" s="124"/>
      <c r="B179" s="2"/>
      <c r="C179" s="2"/>
      <c r="D179" s="2"/>
      <c r="E179" s="2"/>
      <c r="F179" s="2"/>
      <c r="G179" s="2"/>
      <c r="H179"/>
      <c r="J179" s="68"/>
      <c r="K179" s="28"/>
      <c r="L179" s="28"/>
      <c r="M179" s="28"/>
      <c r="N179" s="28"/>
      <c r="O179" s="28"/>
      <c r="P179" s="29"/>
      <c r="Q179" s="54"/>
      <c r="R179" s="30"/>
    </row>
    <row r="180" spans="1:18" ht="15" hidden="1" customHeight="1" x14ac:dyDescent="0.3">
      <c r="A180" s="124"/>
      <c r="B180" s="2"/>
      <c r="C180" s="2"/>
      <c r="D180" s="2"/>
      <c r="E180" s="2"/>
      <c r="F180" s="2"/>
      <c r="G180" s="2"/>
      <c r="H180"/>
      <c r="J180" s="68"/>
      <c r="K180" s="28"/>
      <c r="L180" s="28"/>
      <c r="M180" s="28"/>
      <c r="N180" s="28"/>
      <c r="O180" s="28"/>
      <c r="P180" s="29"/>
      <c r="Q180" s="54"/>
      <c r="R180" s="30"/>
    </row>
    <row r="181" spans="1:18" ht="15" hidden="1" customHeight="1" x14ac:dyDescent="0.3">
      <c r="A181" s="124">
        <v>45689</v>
      </c>
      <c r="B181" s="2">
        <v>68916</v>
      </c>
      <c r="C181" s="2">
        <v>68916</v>
      </c>
      <c r="D181" s="2">
        <v>18823</v>
      </c>
      <c r="E181" s="2">
        <v>1550</v>
      </c>
      <c r="F181" s="2">
        <f>D181+E181</f>
        <v>20373</v>
      </c>
      <c r="G181" s="2">
        <f>C181-F181</f>
        <v>48543</v>
      </c>
      <c r="H181" s="176"/>
      <c r="J181" s="68"/>
      <c r="K181" s="28"/>
      <c r="L181" s="28"/>
      <c r="M181" s="28"/>
      <c r="N181" s="28"/>
      <c r="O181" s="28"/>
      <c r="P181" s="29"/>
      <c r="Q181" s="54"/>
      <c r="R181" s="30"/>
    </row>
    <row r="182" spans="1:18" ht="15" hidden="1" customHeight="1" x14ac:dyDescent="0.3">
      <c r="A182" s="124">
        <v>45690</v>
      </c>
      <c r="B182" s="2"/>
      <c r="C182" s="2">
        <v>0</v>
      </c>
      <c r="D182" s="2"/>
      <c r="E182" s="2"/>
      <c r="F182" s="2">
        <f t="shared" ref="F182:F210" si="10">D182+E182</f>
        <v>0</v>
      </c>
      <c r="G182" s="2">
        <f t="shared" ref="G182:G211" si="11">C182-F182</f>
        <v>0</v>
      </c>
      <c r="H182" s="176"/>
      <c r="J182" s="68"/>
      <c r="K182" s="28"/>
      <c r="L182" s="28"/>
      <c r="M182" s="28"/>
      <c r="N182" s="28"/>
      <c r="O182" s="28"/>
      <c r="P182" s="29"/>
      <c r="Q182" s="54"/>
      <c r="R182" s="30"/>
    </row>
    <row r="183" spans="1:18" ht="15" hidden="1" customHeight="1" x14ac:dyDescent="0.3">
      <c r="A183" s="124">
        <v>45691</v>
      </c>
      <c r="B183" s="2"/>
      <c r="C183" s="2">
        <v>0</v>
      </c>
      <c r="D183" s="2"/>
      <c r="E183" s="2">
        <v>27968</v>
      </c>
      <c r="F183" s="2">
        <f t="shared" si="10"/>
        <v>27968</v>
      </c>
      <c r="G183" s="2">
        <f t="shared" si="11"/>
        <v>-27968</v>
      </c>
      <c r="H183" s="176"/>
      <c r="J183" s="68"/>
      <c r="K183" s="28"/>
      <c r="L183" s="28"/>
      <c r="M183" s="28"/>
      <c r="N183" s="28"/>
      <c r="O183" s="28"/>
      <c r="P183" s="29"/>
      <c r="Q183" s="54"/>
      <c r="R183" s="30"/>
    </row>
    <row r="184" spans="1:18" ht="15" hidden="1" customHeight="1" x14ac:dyDescent="0.3">
      <c r="A184" s="124">
        <v>45692</v>
      </c>
      <c r="B184" s="2">
        <v>97204</v>
      </c>
      <c r="C184" s="2">
        <v>97204</v>
      </c>
      <c r="D184" s="2">
        <v>130000</v>
      </c>
      <c r="E184" s="2">
        <v>15016</v>
      </c>
      <c r="F184" s="2">
        <f t="shared" si="10"/>
        <v>145016</v>
      </c>
      <c r="G184" s="2">
        <f t="shared" si="11"/>
        <v>-47812</v>
      </c>
      <c r="H184" s="176"/>
      <c r="J184" s="68"/>
      <c r="K184" s="28"/>
      <c r="L184" s="28"/>
      <c r="M184" s="28"/>
      <c r="N184" s="28"/>
      <c r="O184" s="28"/>
      <c r="P184" s="29"/>
      <c r="Q184" s="54"/>
      <c r="R184" s="30"/>
    </row>
    <row r="185" spans="1:18" ht="15" hidden="1" customHeight="1" x14ac:dyDescent="0.3">
      <c r="A185" s="124">
        <v>45693</v>
      </c>
      <c r="B185" s="2"/>
      <c r="C185" s="2">
        <v>0</v>
      </c>
      <c r="D185" s="2">
        <v>709788</v>
      </c>
      <c r="E185" s="2"/>
      <c r="F185" s="2">
        <f t="shared" si="10"/>
        <v>709788</v>
      </c>
      <c r="G185" s="2">
        <f t="shared" si="11"/>
        <v>-709788</v>
      </c>
      <c r="H185" s="176" t="s">
        <v>241</v>
      </c>
      <c r="J185" s="68"/>
      <c r="K185" s="28"/>
      <c r="L185" s="28"/>
      <c r="M185" s="28"/>
      <c r="N185" s="28"/>
      <c r="O185" s="28"/>
      <c r="P185" s="29"/>
      <c r="Q185" s="54"/>
      <c r="R185" s="30"/>
    </row>
    <row r="186" spans="1:18" ht="15" hidden="1" customHeight="1" x14ac:dyDescent="0.3">
      <c r="A186" s="124">
        <v>45694</v>
      </c>
      <c r="B186" s="2"/>
      <c r="C186" s="2">
        <v>0</v>
      </c>
      <c r="D186" s="2">
        <v>41980</v>
      </c>
      <c r="E186" s="2">
        <v>81480</v>
      </c>
      <c r="F186" s="2">
        <f t="shared" si="10"/>
        <v>123460</v>
      </c>
      <c r="G186" s="2">
        <f t="shared" si="11"/>
        <v>-123460</v>
      </c>
      <c r="H186" s="176"/>
      <c r="J186" s="68"/>
      <c r="K186" s="28"/>
      <c r="L186" s="28"/>
      <c r="M186" s="28"/>
      <c r="N186" s="28"/>
      <c r="O186" s="28"/>
      <c r="P186" s="29"/>
      <c r="Q186" s="54"/>
      <c r="R186" s="30"/>
    </row>
    <row r="187" spans="1:18" ht="15" hidden="1" customHeight="1" x14ac:dyDescent="0.3">
      <c r="A187" s="124">
        <v>45695</v>
      </c>
      <c r="B187" s="2">
        <v>112400</v>
      </c>
      <c r="C187" s="2">
        <v>112400</v>
      </c>
      <c r="D187" s="2"/>
      <c r="E187" s="2">
        <v>43774</v>
      </c>
      <c r="F187" s="2">
        <f t="shared" si="10"/>
        <v>43774</v>
      </c>
      <c r="G187" s="2">
        <f t="shared" si="11"/>
        <v>68626</v>
      </c>
      <c r="H187" s="176"/>
      <c r="J187" s="68"/>
      <c r="K187" s="28"/>
      <c r="L187" s="28"/>
      <c r="M187" s="28"/>
      <c r="N187" s="28"/>
      <c r="O187" s="28"/>
      <c r="P187" s="29"/>
      <c r="Q187" s="54"/>
      <c r="R187" s="30"/>
    </row>
    <row r="188" spans="1:18" ht="15" hidden="1" customHeight="1" x14ac:dyDescent="0.3">
      <c r="A188" s="124">
        <v>45696</v>
      </c>
      <c r="B188" s="2"/>
      <c r="C188" s="2">
        <v>0</v>
      </c>
      <c r="D188" s="2"/>
      <c r="E188" s="2"/>
      <c r="F188" s="2">
        <f t="shared" si="10"/>
        <v>0</v>
      </c>
      <c r="G188" s="2">
        <f t="shared" si="11"/>
        <v>0</v>
      </c>
      <c r="H188" s="176"/>
      <c r="J188" s="68"/>
      <c r="K188" s="28"/>
      <c r="L188" s="28"/>
      <c r="M188" s="28"/>
      <c r="N188" s="28"/>
      <c r="O188" s="28"/>
      <c r="P188" s="29"/>
      <c r="Q188" s="54"/>
      <c r="R188" s="30"/>
    </row>
    <row r="189" spans="1:18" ht="15" hidden="1" customHeight="1" x14ac:dyDescent="0.3">
      <c r="A189" s="124">
        <v>45697</v>
      </c>
      <c r="B189" s="2"/>
      <c r="C189" s="2">
        <v>0</v>
      </c>
      <c r="D189" s="2">
        <v>85000</v>
      </c>
      <c r="E189" s="2"/>
      <c r="F189" s="2">
        <f t="shared" si="10"/>
        <v>85000</v>
      </c>
      <c r="G189" s="2">
        <f t="shared" si="11"/>
        <v>-85000</v>
      </c>
      <c r="H189" s="176" t="s">
        <v>250</v>
      </c>
      <c r="J189" s="68"/>
      <c r="K189" s="28"/>
      <c r="L189" s="28"/>
      <c r="M189" s="28"/>
      <c r="N189" s="28"/>
      <c r="O189" s="28"/>
      <c r="P189" s="29"/>
      <c r="Q189" s="54"/>
      <c r="R189" s="30"/>
    </row>
    <row r="190" spans="1:18" ht="15" hidden="1" customHeight="1" x14ac:dyDescent="0.3">
      <c r="A190" s="124">
        <v>45698</v>
      </c>
      <c r="B190" s="2"/>
      <c r="C190" s="2">
        <v>0</v>
      </c>
      <c r="D190" s="2">
        <v>5990</v>
      </c>
      <c r="E190" s="2">
        <v>30121</v>
      </c>
      <c r="F190" s="2">
        <f t="shared" si="10"/>
        <v>36111</v>
      </c>
      <c r="G190" s="2">
        <f t="shared" si="11"/>
        <v>-36111</v>
      </c>
      <c r="H190" s="176"/>
      <c r="J190" s="68"/>
      <c r="K190" s="28"/>
      <c r="L190" s="28"/>
      <c r="M190" s="28"/>
      <c r="N190" s="28"/>
      <c r="O190" s="28"/>
      <c r="P190" s="29"/>
      <c r="Q190" s="54"/>
      <c r="R190" s="30"/>
    </row>
    <row r="191" spans="1:18" ht="15" hidden="1" customHeight="1" x14ac:dyDescent="0.3">
      <c r="A191" s="124">
        <v>45699</v>
      </c>
      <c r="B191" s="2"/>
      <c r="C191" s="2">
        <v>0</v>
      </c>
      <c r="D191" s="2"/>
      <c r="E191" s="2"/>
      <c r="F191" s="2">
        <f t="shared" si="10"/>
        <v>0</v>
      </c>
      <c r="G191" s="2">
        <f t="shared" si="11"/>
        <v>0</v>
      </c>
      <c r="H191" s="176"/>
      <c r="J191" s="68"/>
      <c r="K191" s="28"/>
      <c r="L191" s="28"/>
      <c r="M191" s="28"/>
      <c r="N191" s="28"/>
      <c r="O191" s="28"/>
      <c r="P191" s="29"/>
      <c r="Q191" s="54"/>
      <c r="R191" s="30"/>
    </row>
    <row r="192" spans="1:18" ht="15" hidden="1" customHeight="1" x14ac:dyDescent="0.3">
      <c r="A192" s="124">
        <v>45700</v>
      </c>
      <c r="B192" s="2">
        <v>54402</v>
      </c>
      <c r="C192" s="2">
        <v>54402</v>
      </c>
      <c r="D192" s="2">
        <v>32990</v>
      </c>
      <c r="E192" s="2">
        <v>176019</v>
      </c>
      <c r="F192" s="2">
        <f t="shared" si="10"/>
        <v>209009</v>
      </c>
      <c r="G192" s="2">
        <f t="shared" si="11"/>
        <v>-154607</v>
      </c>
      <c r="H192" s="176"/>
      <c r="J192" s="68"/>
      <c r="K192" s="28"/>
      <c r="L192" s="28"/>
      <c r="M192" s="28"/>
      <c r="N192" s="28"/>
      <c r="O192" s="28"/>
      <c r="P192" s="29"/>
      <c r="Q192" s="54"/>
      <c r="R192" s="30"/>
    </row>
    <row r="193" spans="1:18" ht="15" hidden="1" customHeight="1" x14ac:dyDescent="0.3">
      <c r="A193" s="124">
        <v>45701</v>
      </c>
      <c r="B193" s="2"/>
      <c r="C193" s="2">
        <v>0</v>
      </c>
      <c r="D193" s="2">
        <v>2400</v>
      </c>
      <c r="E193" s="2">
        <v>204769</v>
      </c>
      <c r="F193" s="2">
        <f t="shared" si="10"/>
        <v>207169</v>
      </c>
      <c r="G193" s="2">
        <f t="shared" si="11"/>
        <v>-207169</v>
      </c>
      <c r="H193" s="176"/>
      <c r="J193" s="68"/>
      <c r="K193" s="28"/>
      <c r="L193" s="28"/>
      <c r="M193" s="28"/>
      <c r="N193" s="28"/>
      <c r="O193" s="28"/>
      <c r="P193" s="29"/>
      <c r="Q193" s="54"/>
      <c r="R193" s="30"/>
    </row>
    <row r="194" spans="1:18" ht="15" hidden="1" customHeight="1" x14ac:dyDescent="0.3">
      <c r="A194" s="124">
        <v>45702</v>
      </c>
      <c r="B194" s="2"/>
      <c r="C194" s="2">
        <v>0</v>
      </c>
      <c r="D194" s="2">
        <v>20000</v>
      </c>
      <c r="E194" s="2">
        <v>50478</v>
      </c>
      <c r="F194" s="2">
        <f t="shared" si="10"/>
        <v>70478</v>
      </c>
      <c r="G194" s="2">
        <f t="shared" si="11"/>
        <v>-70478</v>
      </c>
      <c r="H194" s="176"/>
      <c r="J194" s="68"/>
      <c r="K194" s="28"/>
      <c r="L194" s="28"/>
      <c r="M194" s="28"/>
      <c r="N194" s="28"/>
      <c r="O194" s="28"/>
      <c r="P194" s="29"/>
      <c r="Q194" s="54"/>
      <c r="R194" s="30"/>
    </row>
    <row r="195" spans="1:18" ht="15" hidden="1" customHeight="1" x14ac:dyDescent="0.3">
      <c r="A195" s="124">
        <v>45703</v>
      </c>
      <c r="B195" s="2">
        <v>2150300</v>
      </c>
      <c r="C195" s="2">
        <v>2150300</v>
      </c>
      <c r="D195" s="2">
        <v>26000</v>
      </c>
      <c r="E195" s="2">
        <v>45560</v>
      </c>
      <c r="F195" s="2">
        <f t="shared" si="10"/>
        <v>71560</v>
      </c>
      <c r="G195" s="2">
        <f t="shared" si="11"/>
        <v>2078740</v>
      </c>
      <c r="H195" s="176"/>
      <c r="J195" s="68"/>
      <c r="K195" s="28"/>
      <c r="L195" s="28"/>
      <c r="M195" s="28"/>
      <c r="N195" s="28"/>
      <c r="O195" s="28"/>
      <c r="P195" s="29"/>
      <c r="Q195" s="54"/>
      <c r="R195" s="30"/>
    </row>
    <row r="196" spans="1:18" ht="15" hidden="1" customHeight="1" x14ac:dyDescent="0.3">
      <c r="A196" s="124">
        <v>45704</v>
      </c>
      <c r="B196" s="2"/>
      <c r="C196" s="2">
        <v>0</v>
      </c>
      <c r="D196" s="2">
        <v>185000</v>
      </c>
      <c r="E196" s="2"/>
      <c r="F196" s="2">
        <f t="shared" si="10"/>
        <v>185000</v>
      </c>
      <c r="G196" s="2">
        <f t="shared" si="11"/>
        <v>-185000</v>
      </c>
      <c r="H196" s="56"/>
      <c r="J196" s="68"/>
      <c r="K196" s="28"/>
      <c r="L196" s="28"/>
      <c r="M196" s="28"/>
      <c r="N196" s="28"/>
      <c r="O196" s="28"/>
      <c r="P196" s="29"/>
      <c r="Q196" s="54"/>
      <c r="R196" s="30"/>
    </row>
    <row r="197" spans="1:18" ht="15" hidden="1" customHeight="1" x14ac:dyDescent="0.3">
      <c r="A197" s="124">
        <v>45705</v>
      </c>
      <c r="B197" s="2"/>
      <c r="C197" s="2">
        <v>0</v>
      </c>
      <c r="D197" s="2">
        <v>88440</v>
      </c>
      <c r="E197" s="2">
        <v>3940</v>
      </c>
      <c r="F197" s="2">
        <f t="shared" si="10"/>
        <v>92380</v>
      </c>
      <c r="G197" s="2">
        <f t="shared" si="11"/>
        <v>-92380</v>
      </c>
      <c r="H197" s="176"/>
      <c r="J197" s="68"/>
      <c r="K197" s="28"/>
      <c r="L197" s="28"/>
      <c r="M197" s="28"/>
      <c r="N197" s="28"/>
      <c r="O197" s="28"/>
      <c r="P197" s="29"/>
      <c r="Q197" s="54"/>
      <c r="R197" s="30"/>
    </row>
    <row r="198" spans="1:18" ht="15" hidden="1" customHeight="1" x14ac:dyDescent="0.3">
      <c r="A198" s="124">
        <v>45706</v>
      </c>
      <c r="B198" s="2"/>
      <c r="C198" s="2">
        <v>0</v>
      </c>
      <c r="D198" s="2"/>
      <c r="E198" s="2">
        <v>8350</v>
      </c>
      <c r="F198" s="2">
        <f t="shared" si="10"/>
        <v>8350</v>
      </c>
      <c r="G198" s="2">
        <f t="shared" si="11"/>
        <v>-8350</v>
      </c>
      <c r="H198" s="176"/>
      <c r="J198" s="68"/>
      <c r="K198" s="28"/>
      <c r="L198" s="28"/>
      <c r="M198" s="28"/>
      <c r="N198" s="28"/>
      <c r="O198" s="28"/>
      <c r="P198" s="29"/>
      <c r="Q198" s="54"/>
      <c r="R198" s="30"/>
    </row>
    <row r="199" spans="1:18" ht="15" hidden="1" customHeight="1" x14ac:dyDescent="0.3">
      <c r="A199" s="124">
        <v>45707</v>
      </c>
      <c r="B199" s="2">
        <v>54002</v>
      </c>
      <c r="C199" s="2">
        <v>54002</v>
      </c>
      <c r="D199" s="2">
        <v>27368</v>
      </c>
      <c r="E199" s="2"/>
      <c r="F199" s="2">
        <f t="shared" si="10"/>
        <v>27368</v>
      </c>
      <c r="G199" s="2">
        <f t="shared" si="11"/>
        <v>26634</v>
      </c>
      <c r="H199" s="176"/>
      <c r="J199" s="68"/>
      <c r="K199" s="28"/>
      <c r="L199" s="28"/>
      <c r="M199" s="28"/>
      <c r="N199" s="28"/>
      <c r="O199" s="28"/>
      <c r="P199" s="29"/>
      <c r="Q199" s="54"/>
      <c r="R199" s="30"/>
    </row>
    <row r="200" spans="1:18" ht="15" hidden="1" customHeight="1" x14ac:dyDescent="0.3">
      <c r="A200" s="124">
        <v>45708</v>
      </c>
      <c r="B200" s="2"/>
      <c r="C200" s="2">
        <v>0</v>
      </c>
      <c r="D200" s="2">
        <v>70000</v>
      </c>
      <c r="E200" s="2"/>
      <c r="F200" s="2">
        <f t="shared" si="10"/>
        <v>70000</v>
      </c>
      <c r="G200" s="2">
        <f t="shared" si="11"/>
        <v>-70000</v>
      </c>
      <c r="H200" s="176" t="s">
        <v>248</v>
      </c>
      <c r="J200" s="68"/>
      <c r="K200" s="28"/>
      <c r="L200" s="28"/>
      <c r="M200" s="28"/>
      <c r="N200" s="28"/>
      <c r="O200" s="28"/>
      <c r="P200" s="29"/>
      <c r="Q200" s="54"/>
      <c r="R200" s="30"/>
    </row>
    <row r="201" spans="1:18" ht="15" hidden="1" customHeight="1" x14ac:dyDescent="0.3">
      <c r="A201" s="124">
        <v>45709</v>
      </c>
      <c r="B201" s="2"/>
      <c r="C201" s="2">
        <v>0</v>
      </c>
      <c r="D201" s="2">
        <v>64181</v>
      </c>
      <c r="E201" s="2">
        <v>69830</v>
      </c>
      <c r="F201" s="2">
        <f t="shared" si="10"/>
        <v>134011</v>
      </c>
      <c r="G201" s="2">
        <f t="shared" si="11"/>
        <v>-134011</v>
      </c>
      <c r="H201" s="176"/>
      <c r="J201" s="68"/>
      <c r="K201" s="28"/>
      <c r="L201" s="28"/>
      <c r="M201" s="28"/>
      <c r="N201" s="28"/>
      <c r="O201" s="28"/>
      <c r="P201" s="29"/>
      <c r="Q201" s="54"/>
      <c r="R201" s="30"/>
    </row>
    <row r="202" spans="1:18" ht="15" hidden="1" customHeight="1" x14ac:dyDescent="0.3">
      <c r="A202" s="124">
        <v>45710</v>
      </c>
      <c r="B202" s="2">
        <v>171500</v>
      </c>
      <c r="C202" s="2">
        <v>171500</v>
      </c>
      <c r="D202" s="2"/>
      <c r="E202" s="2"/>
      <c r="F202" s="2">
        <f t="shared" si="10"/>
        <v>0</v>
      </c>
      <c r="G202" s="2">
        <f t="shared" si="11"/>
        <v>171500</v>
      </c>
      <c r="H202" s="176"/>
      <c r="J202" s="68"/>
      <c r="K202" s="28"/>
      <c r="L202" s="28"/>
      <c r="M202" s="28"/>
      <c r="N202" s="28"/>
      <c r="O202" s="28"/>
      <c r="P202" s="29"/>
      <c r="Q202" s="54"/>
      <c r="R202" s="30"/>
    </row>
    <row r="203" spans="1:18" ht="15" hidden="1" customHeight="1" x14ac:dyDescent="0.3">
      <c r="A203" s="124">
        <v>45711</v>
      </c>
      <c r="B203" s="2"/>
      <c r="C203" s="2">
        <v>0</v>
      </c>
      <c r="D203" s="2"/>
      <c r="E203" s="2"/>
      <c r="F203" s="2">
        <f t="shared" si="10"/>
        <v>0</v>
      </c>
      <c r="G203" s="2">
        <f t="shared" si="11"/>
        <v>0</v>
      </c>
      <c r="H203" s="176"/>
      <c r="J203" s="68"/>
      <c r="K203" s="28"/>
      <c r="L203" s="28"/>
      <c r="M203" s="28"/>
      <c r="N203" s="28"/>
      <c r="O203" s="28"/>
      <c r="P203" s="29"/>
      <c r="Q203" s="54"/>
      <c r="R203" s="30"/>
    </row>
    <row r="204" spans="1:18" ht="15" hidden="1" customHeight="1" x14ac:dyDescent="0.3">
      <c r="A204" s="124">
        <v>45712</v>
      </c>
      <c r="B204" s="2"/>
      <c r="C204" s="2">
        <v>0</v>
      </c>
      <c r="D204" s="2"/>
      <c r="E204" s="2"/>
      <c r="F204" s="2">
        <f t="shared" si="10"/>
        <v>0</v>
      </c>
      <c r="G204" s="2">
        <f t="shared" si="11"/>
        <v>0</v>
      </c>
      <c r="H204" s="176"/>
      <c r="J204" s="68"/>
      <c r="K204" s="28"/>
      <c r="L204" s="28"/>
      <c r="M204" s="28"/>
      <c r="N204" s="28"/>
      <c r="O204" s="28"/>
      <c r="P204" s="29"/>
      <c r="Q204" s="54"/>
      <c r="R204" s="30"/>
    </row>
    <row r="205" spans="1:18" ht="15" hidden="1" customHeight="1" x14ac:dyDescent="0.3">
      <c r="A205" s="124">
        <v>45713</v>
      </c>
      <c r="B205" s="2"/>
      <c r="C205" s="2">
        <v>0</v>
      </c>
      <c r="D205" s="2">
        <v>48799</v>
      </c>
      <c r="E205" s="2"/>
      <c r="F205" s="2">
        <f t="shared" si="10"/>
        <v>48799</v>
      </c>
      <c r="G205" s="2">
        <f t="shared" si="11"/>
        <v>-48799</v>
      </c>
      <c r="H205" s="176"/>
      <c r="J205" s="68"/>
      <c r="K205" s="28"/>
      <c r="L205" s="28"/>
      <c r="M205" s="28"/>
      <c r="N205" s="28"/>
      <c r="O205" s="28"/>
      <c r="P205" s="29"/>
      <c r="Q205" s="54"/>
      <c r="R205" s="30"/>
    </row>
    <row r="206" spans="1:18" ht="15" hidden="1" customHeight="1" x14ac:dyDescent="0.3">
      <c r="A206" s="124">
        <v>45714</v>
      </c>
      <c r="B206" s="2">
        <v>64803</v>
      </c>
      <c r="C206" s="2">
        <v>64803</v>
      </c>
      <c r="D206" s="2"/>
      <c r="E206" s="2"/>
      <c r="F206" s="2">
        <f t="shared" si="10"/>
        <v>0</v>
      </c>
      <c r="G206" s="2">
        <f t="shared" si="11"/>
        <v>64803</v>
      </c>
      <c r="H206" s="176"/>
      <c r="J206" s="68"/>
      <c r="K206" s="28"/>
      <c r="L206" s="28"/>
      <c r="M206" s="28"/>
      <c r="N206" s="28"/>
      <c r="O206" s="28"/>
      <c r="P206" s="29"/>
      <c r="Q206" s="54"/>
      <c r="R206" s="30"/>
    </row>
    <row r="207" spans="1:18" ht="15" hidden="1" customHeight="1" x14ac:dyDescent="0.3">
      <c r="A207" s="124">
        <v>45715</v>
      </c>
      <c r="B207" s="2"/>
      <c r="C207" s="2">
        <v>0</v>
      </c>
      <c r="D207" s="2">
        <v>109606</v>
      </c>
      <c r="E207" s="2"/>
      <c r="F207" s="2">
        <f t="shared" si="10"/>
        <v>109606</v>
      </c>
      <c r="G207" s="2">
        <f t="shared" si="11"/>
        <v>-109606</v>
      </c>
      <c r="H207" s="176"/>
      <c r="J207" s="68"/>
      <c r="K207" s="28"/>
      <c r="L207" s="28"/>
      <c r="M207" s="28"/>
      <c r="N207" s="28"/>
      <c r="O207" s="28"/>
      <c r="P207" s="29"/>
      <c r="Q207" s="54"/>
      <c r="R207" s="30"/>
    </row>
    <row r="208" spans="1:18" ht="15" hidden="1" customHeight="1" x14ac:dyDescent="0.3">
      <c r="A208" s="124">
        <v>45716</v>
      </c>
      <c r="B208" s="2">
        <v>53800</v>
      </c>
      <c r="C208" s="2">
        <v>53800</v>
      </c>
      <c r="D208" s="2"/>
      <c r="E208" s="2">
        <v>36950</v>
      </c>
      <c r="F208" s="2">
        <f t="shared" si="10"/>
        <v>36950</v>
      </c>
      <c r="G208" s="2">
        <f t="shared" si="11"/>
        <v>16850</v>
      </c>
      <c r="H208" s="176"/>
      <c r="J208" s="68"/>
      <c r="K208" s="28"/>
      <c r="L208" s="28"/>
      <c r="M208" s="28"/>
      <c r="N208" s="28"/>
      <c r="O208" s="28"/>
      <c r="P208" s="29"/>
      <c r="Q208" s="54"/>
      <c r="R208" s="30"/>
    </row>
    <row r="209" spans="1:18" ht="15" hidden="1" customHeight="1" x14ac:dyDescent="0.3">
      <c r="A209" s="124"/>
      <c r="B209" s="2"/>
      <c r="C209" s="2">
        <v>0</v>
      </c>
      <c r="D209" s="2"/>
      <c r="E209" s="2"/>
      <c r="F209" s="2">
        <f t="shared" si="10"/>
        <v>0</v>
      </c>
      <c r="G209" s="2">
        <f t="shared" si="11"/>
        <v>0</v>
      </c>
      <c r="H209"/>
      <c r="J209" s="68"/>
      <c r="K209" s="28"/>
      <c r="L209" s="28"/>
      <c r="M209" s="28"/>
      <c r="N209" s="28"/>
      <c r="O209" s="28"/>
      <c r="P209" s="29"/>
      <c r="Q209" s="54"/>
      <c r="R209" s="30"/>
    </row>
    <row r="210" spans="1:18" ht="15" hidden="1" customHeight="1" x14ac:dyDescent="0.3">
      <c r="A210" s="124"/>
      <c r="B210" s="2"/>
      <c r="C210" s="2">
        <v>0</v>
      </c>
      <c r="D210" s="2"/>
      <c r="E210" s="2"/>
      <c r="F210" s="2">
        <f t="shared" si="10"/>
        <v>0</v>
      </c>
      <c r="G210" s="2">
        <f t="shared" si="11"/>
        <v>0</v>
      </c>
      <c r="H210"/>
      <c r="J210" s="68"/>
      <c r="K210" s="28"/>
      <c r="L210" s="28"/>
      <c r="M210" s="28"/>
      <c r="N210" s="28"/>
      <c r="O210" s="28"/>
      <c r="P210" s="29"/>
      <c r="Q210" s="54"/>
      <c r="R210" s="30"/>
    </row>
    <row r="211" spans="1:18" ht="15" hidden="1" customHeight="1" x14ac:dyDescent="0.3">
      <c r="A211" s="124"/>
      <c r="B211" s="2"/>
      <c r="C211" s="2">
        <v>0</v>
      </c>
      <c r="D211" s="2"/>
      <c r="E211" s="2"/>
      <c r="F211" s="2">
        <v>0</v>
      </c>
      <c r="G211" s="2">
        <f t="shared" si="11"/>
        <v>0</v>
      </c>
      <c r="H211"/>
      <c r="J211" s="68"/>
      <c r="K211" s="28"/>
      <c r="L211" s="28"/>
      <c r="M211" s="28"/>
      <c r="N211" s="28"/>
      <c r="O211" s="28"/>
      <c r="P211" s="29"/>
      <c r="Q211" s="54"/>
      <c r="R211" s="30"/>
    </row>
    <row r="212" spans="1:18" ht="15" hidden="1" customHeight="1" x14ac:dyDescent="0.3">
      <c r="A212" s="175" t="s">
        <v>55</v>
      </c>
      <c r="B212" s="2">
        <v>2827327</v>
      </c>
      <c r="C212" s="2">
        <f>SUM(C181:C210)</f>
        <v>2827327</v>
      </c>
      <c r="D212" s="2">
        <f>SUM(D181:D210)</f>
        <v>1666365</v>
      </c>
      <c r="E212" s="2">
        <f>SUM(E181:E210)</f>
        <v>795805</v>
      </c>
      <c r="F212" s="2">
        <f>SUM(F181:F210)</f>
        <v>2462170</v>
      </c>
      <c r="G212" s="2">
        <f>SUM(G181:G210)</f>
        <v>365157</v>
      </c>
      <c r="H212" s="2"/>
      <c r="J212" s="68"/>
      <c r="K212" s="28"/>
      <c r="L212" s="28"/>
      <c r="M212" s="28"/>
      <c r="N212" s="28"/>
      <c r="O212" s="28"/>
      <c r="P212" s="29"/>
      <c r="Q212" s="54"/>
      <c r="R212" s="30"/>
    </row>
    <row r="213" spans="1:18" ht="15" hidden="1" customHeight="1" x14ac:dyDescent="0.3">
      <c r="A213" s="124"/>
      <c r="B213" s="2"/>
      <c r="C213" s="2"/>
      <c r="D213" s="2"/>
      <c r="E213" s="2"/>
      <c r="F213" s="2"/>
      <c r="G213" s="2"/>
      <c r="H213"/>
      <c r="J213" s="68"/>
      <c r="K213" s="28"/>
      <c r="L213" s="28"/>
      <c r="M213" s="28"/>
      <c r="N213" s="28"/>
      <c r="O213" s="28"/>
      <c r="P213" s="29"/>
      <c r="Q213" s="54"/>
      <c r="R213" s="30"/>
    </row>
    <row r="214" spans="1:18" ht="15" hidden="1" customHeight="1" x14ac:dyDescent="0.3">
      <c r="A214" s="124"/>
      <c r="B214" s="2"/>
      <c r="C214" s="2"/>
      <c r="D214" s="2"/>
      <c r="E214" s="2"/>
      <c r="F214" s="2"/>
      <c r="G214" s="2"/>
      <c r="H214"/>
      <c r="J214" s="68"/>
      <c r="K214" s="28"/>
      <c r="L214" s="28"/>
      <c r="M214" s="28"/>
      <c r="N214" s="28"/>
      <c r="O214" s="28"/>
      <c r="P214" s="29"/>
      <c r="Q214" s="54"/>
      <c r="R214" s="30"/>
    </row>
    <row r="215" spans="1:18" ht="15" hidden="1" customHeight="1" x14ac:dyDescent="0.3">
      <c r="A215" s="124"/>
      <c r="B215" s="2"/>
      <c r="C215" s="2"/>
      <c r="D215" s="2"/>
      <c r="E215" s="2"/>
      <c r="F215" s="2"/>
      <c r="G215" s="2"/>
      <c r="H215"/>
      <c r="J215" s="68"/>
      <c r="K215" s="28"/>
      <c r="L215" s="28"/>
      <c r="M215" s="28"/>
      <c r="N215" s="28"/>
      <c r="O215" s="28"/>
      <c r="P215" s="29"/>
      <c r="Q215" s="54"/>
      <c r="R215" s="30"/>
    </row>
    <row r="216" spans="1:18" ht="15" hidden="1" customHeight="1" x14ac:dyDescent="0.3">
      <c r="A216" s="124">
        <v>45658</v>
      </c>
      <c r="B216" s="2"/>
      <c r="C216" s="2">
        <v>0</v>
      </c>
      <c r="D216" s="2"/>
      <c r="E216" s="2"/>
      <c r="F216" s="2">
        <v>0</v>
      </c>
      <c r="G216" s="2">
        <v>0</v>
      </c>
      <c r="H216" s="176"/>
      <c r="J216" s="68"/>
      <c r="K216" s="28"/>
      <c r="L216" s="28"/>
      <c r="M216" s="28"/>
      <c r="N216" s="28"/>
      <c r="O216" s="28"/>
      <c r="P216" s="29"/>
      <c r="Q216" s="54"/>
      <c r="R216" s="30"/>
    </row>
    <row r="217" spans="1:18" ht="15" hidden="1" customHeight="1" x14ac:dyDescent="0.3">
      <c r="A217" s="124">
        <v>45659</v>
      </c>
      <c r="B217" s="2"/>
      <c r="C217" s="2">
        <f>B217</f>
        <v>0</v>
      </c>
      <c r="D217" s="2"/>
      <c r="E217" s="2"/>
      <c r="F217" s="2">
        <f>D217+E217</f>
        <v>0</v>
      </c>
      <c r="G217" s="2">
        <v>0</v>
      </c>
      <c r="H217" s="176"/>
      <c r="J217" s="68"/>
      <c r="K217" s="28"/>
      <c r="L217" s="28"/>
      <c r="M217" s="28"/>
      <c r="N217" s="28"/>
      <c r="O217" s="28"/>
      <c r="P217" s="29"/>
      <c r="Q217" s="54"/>
      <c r="R217" s="30"/>
    </row>
    <row r="218" spans="1:18" ht="15" hidden="1" customHeight="1" x14ac:dyDescent="0.3">
      <c r="A218" s="124">
        <v>45660</v>
      </c>
      <c r="B218" s="2"/>
      <c r="C218" s="2">
        <f t="shared" ref="C218:C246" si="12">B218</f>
        <v>0</v>
      </c>
      <c r="D218" s="2"/>
      <c r="E218" s="2"/>
      <c r="F218" s="2">
        <v>0</v>
      </c>
      <c r="G218" s="2">
        <v>0</v>
      </c>
      <c r="H218" s="176"/>
      <c r="J218" s="68"/>
      <c r="K218" s="28"/>
      <c r="L218" s="28"/>
      <c r="M218" s="28"/>
      <c r="N218" s="28"/>
      <c r="O218" s="28"/>
      <c r="P218" s="29"/>
      <c r="Q218" s="54"/>
      <c r="R218" s="30"/>
    </row>
    <row r="219" spans="1:18" ht="15" hidden="1" customHeight="1" x14ac:dyDescent="0.3">
      <c r="A219" s="124">
        <v>45661</v>
      </c>
      <c r="B219" s="2"/>
      <c r="C219" s="2">
        <f t="shared" si="12"/>
        <v>0</v>
      </c>
      <c r="D219" s="2"/>
      <c r="E219" s="2"/>
      <c r="F219" s="2">
        <v>0</v>
      </c>
      <c r="G219" s="2">
        <v>0</v>
      </c>
      <c r="H219" s="176"/>
      <c r="J219" s="68"/>
      <c r="K219" s="28"/>
      <c r="L219" s="28"/>
      <c r="M219" s="28"/>
      <c r="N219" s="28"/>
      <c r="O219" s="28"/>
      <c r="P219" s="29"/>
      <c r="Q219" s="54"/>
      <c r="R219" s="30"/>
    </row>
    <row r="220" spans="1:18" ht="15" hidden="1" customHeight="1" x14ac:dyDescent="0.3">
      <c r="A220" s="124">
        <v>45662</v>
      </c>
      <c r="B220" s="2">
        <v>121000</v>
      </c>
      <c r="C220" s="2">
        <f t="shared" si="12"/>
        <v>121000</v>
      </c>
      <c r="D220" s="2">
        <v>720000</v>
      </c>
      <c r="E220" s="2"/>
      <c r="F220" s="2">
        <f t="shared" ref="F220:F229" si="13">D220+E220</f>
        <v>720000</v>
      </c>
      <c r="G220" s="2">
        <f>C220-F220</f>
        <v>-599000</v>
      </c>
      <c r="H220" s="176" t="s">
        <v>241</v>
      </c>
      <c r="J220" s="68"/>
      <c r="K220" s="28"/>
      <c r="L220" s="28"/>
      <c r="M220" s="28"/>
      <c r="N220" s="28"/>
      <c r="O220" s="28"/>
      <c r="P220" s="29"/>
      <c r="Q220" s="54"/>
      <c r="R220" s="30"/>
    </row>
    <row r="221" spans="1:18" ht="15" hidden="1" customHeight="1" x14ac:dyDescent="0.3">
      <c r="A221" s="124">
        <v>45663</v>
      </c>
      <c r="B221" s="2"/>
      <c r="C221" s="2">
        <f t="shared" si="12"/>
        <v>0</v>
      </c>
      <c r="D221" s="2">
        <v>96900</v>
      </c>
      <c r="E221" s="2">
        <v>167048</v>
      </c>
      <c r="F221" s="2">
        <f t="shared" si="13"/>
        <v>263948</v>
      </c>
      <c r="G221" s="2">
        <f t="shared" ref="G221:G246" si="14">C221-F221</f>
        <v>-263948</v>
      </c>
      <c r="H221" s="176"/>
      <c r="J221" s="68"/>
      <c r="K221" s="28"/>
      <c r="L221" s="28"/>
      <c r="M221" s="28"/>
      <c r="N221" s="28"/>
      <c r="O221" s="28"/>
      <c r="P221" s="29"/>
      <c r="Q221" s="54"/>
      <c r="R221" s="30"/>
    </row>
    <row r="222" spans="1:18" ht="15" hidden="1" customHeight="1" x14ac:dyDescent="0.3">
      <c r="A222" s="124">
        <v>45664</v>
      </c>
      <c r="B222" s="2">
        <v>1066240</v>
      </c>
      <c r="C222" s="2">
        <f t="shared" si="12"/>
        <v>1066240</v>
      </c>
      <c r="D222" s="2">
        <v>56773</v>
      </c>
      <c r="E222" s="2">
        <v>24164</v>
      </c>
      <c r="F222" s="2">
        <f t="shared" si="13"/>
        <v>80937</v>
      </c>
      <c r="G222" s="2">
        <f t="shared" si="14"/>
        <v>985303</v>
      </c>
      <c r="H222" s="176" t="s">
        <v>186</v>
      </c>
      <c r="J222" s="68"/>
      <c r="K222" s="28"/>
      <c r="L222" s="28"/>
      <c r="M222" s="28"/>
      <c r="N222" s="28"/>
      <c r="O222" s="28"/>
      <c r="P222" s="29"/>
      <c r="Q222" s="54"/>
      <c r="R222" s="30"/>
    </row>
    <row r="223" spans="1:18" ht="15" hidden="1" customHeight="1" x14ac:dyDescent="0.3">
      <c r="A223" s="124">
        <v>45665</v>
      </c>
      <c r="B223" s="2">
        <v>140406</v>
      </c>
      <c r="C223" s="2">
        <f t="shared" si="12"/>
        <v>140406</v>
      </c>
      <c r="D223" s="2"/>
      <c r="E223" s="2">
        <v>19182</v>
      </c>
      <c r="F223" s="2">
        <f t="shared" si="13"/>
        <v>19182</v>
      </c>
      <c r="G223" s="2">
        <f t="shared" si="14"/>
        <v>121224</v>
      </c>
      <c r="H223" s="176"/>
      <c r="J223" s="68"/>
      <c r="K223" s="28"/>
      <c r="L223" s="28"/>
      <c r="M223" s="28"/>
      <c r="N223" s="28"/>
      <c r="O223" s="28"/>
      <c r="P223" s="29"/>
      <c r="Q223" s="54"/>
      <c r="R223" s="30"/>
    </row>
    <row r="224" spans="1:18" ht="15" hidden="1" customHeight="1" x14ac:dyDescent="0.3">
      <c r="A224" s="124">
        <v>45666</v>
      </c>
      <c r="B224" s="2">
        <v>23000</v>
      </c>
      <c r="C224" s="2">
        <f t="shared" si="12"/>
        <v>23000</v>
      </c>
      <c r="D224" s="2">
        <v>74053</v>
      </c>
      <c r="E224" s="2">
        <v>26863</v>
      </c>
      <c r="F224" s="2">
        <f t="shared" si="13"/>
        <v>100916</v>
      </c>
      <c r="G224" s="2">
        <f t="shared" si="14"/>
        <v>-77916</v>
      </c>
      <c r="H224" s="176"/>
      <c r="J224" s="68"/>
      <c r="K224" s="28"/>
      <c r="L224" s="28"/>
      <c r="M224" s="28"/>
      <c r="N224" s="28"/>
      <c r="O224" s="28"/>
      <c r="P224" s="29"/>
      <c r="Q224" s="54"/>
      <c r="R224" s="30"/>
    </row>
    <row r="225" spans="1:18" ht="15" hidden="1" customHeight="1" x14ac:dyDescent="0.3">
      <c r="A225" s="124">
        <v>45667</v>
      </c>
      <c r="B225" s="2">
        <v>21601</v>
      </c>
      <c r="C225" s="2">
        <f t="shared" si="12"/>
        <v>21601</v>
      </c>
      <c r="D225" s="2">
        <v>110168</v>
      </c>
      <c r="E225" s="2">
        <v>252661</v>
      </c>
      <c r="F225" s="2">
        <f t="shared" si="13"/>
        <v>362829</v>
      </c>
      <c r="G225" s="2">
        <f t="shared" si="14"/>
        <v>-341228</v>
      </c>
      <c r="H225" s="176"/>
      <c r="J225" s="68"/>
      <c r="K225" s="28"/>
      <c r="L225" s="28"/>
      <c r="M225" s="28"/>
      <c r="N225" s="28"/>
      <c r="O225" s="28"/>
      <c r="P225" s="29"/>
      <c r="Q225" s="54"/>
      <c r="R225" s="30"/>
    </row>
    <row r="226" spans="1:18" ht="15" hidden="1" customHeight="1" x14ac:dyDescent="0.3">
      <c r="A226" s="124">
        <v>45668</v>
      </c>
      <c r="B226" s="2"/>
      <c r="C226" s="2">
        <f t="shared" si="12"/>
        <v>0</v>
      </c>
      <c r="D226" s="2"/>
      <c r="E226" s="2">
        <v>54669</v>
      </c>
      <c r="F226" s="2">
        <f t="shared" si="13"/>
        <v>54669</v>
      </c>
      <c r="G226" s="2">
        <f t="shared" si="14"/>
        <v>-54669</v>
      </c>
      <c r="H226" s="176"/>
      <c r="J226" s="68"/>
      <c r="K226" s="28"/>
      <c r="L226" s="28"/>
      <c r="M226" s="28"/>
      <c r="N226" s="28"/>
      <c r="O226" s="28"/>
      <c r="P226" s="29"/>
      <c r="Q226" s="54"/>
      <c r="R226" s="30"/>
    </row>
    <row r="227" spans="1:18" ht="15" hidden="1" customHeight="1" x14ac:dyDescent="0.3">
      <c r="A227" s="124">
        <v>45669</v>
      </c>
      <c r="B227" s="2"/>
      <c r="C227" s="2">
        <f t="shared" si="12"/>
        <v>0</v>
      </c>
      <c r="D227" s="2">
        <v>25000</v>
      </c>
      <c r="E227" s="2">
        <v>134130</v>
      </c>
      <c r="F227" s="2">
        <f t="shared" si="13"/>
        <v>159130</v>
      </c>
      <c r="G227" s="2">
        <f t="shared" si="14"/>
        <v>-159130</v>
      </c>
      <c r="H227" s="176"/>
      <c r="J227" s="68"/>
      <c r="K227" s="28"/>
      <c r="L227" s="28">
        <v>60001</v>
      </c>
      <c r="M227" s="28"/>
      <c r="N227" s="28"/>
      <c r="O227" s="28"/>
      <c r="P227" s="29"/>
      <c r="Q227" s="54"/>
      <c r="R227" s="30"/>
    </row>
    <row r="228" spans="1:18" ht="15" hidden="1" customHeight="1" x14ac:dyDescent="0.3">
      <c r="A228" s="124">
        <v>45670</v>
      </c>
      <c r="B228" s="2"/>
      <c r="C228" s="2">
        <f t="shared" si="12"/>
        <v>0</v>
      </c>
      <c r="D228" s="2">
        <v>10880</v>
      </c>
      <c r="E228" s="2"/>
      <c r="F228" s="2">
        <f t="shared" si="13"/>
        <v>10880</v>
      </c>
      <c r="G228" s="2">
        <f t="shared" si="14"/>
        <v>-10880</v>
      </c>
      <c r="H228" s="176"/>
      <c r="J228" s="68"/>
      <c r="K228" s="28"/>
      <c r="L228" s="28"/>
      <c r="M228" s="28"/>
      <c r="N228" s="28"/>
      <c r="O228" s="28"/>
      <c r="P228" s="29"/>
      <c r="Q228" s="54"/>
      <c r="R228" s="30"/>
    </row>
    <row r="229" spans="1:18" ht="15" hidden="1" customHeight="1" x14ac:dyDescent="0.3">
      <c r="A229" s="124">
        <v>45671</v>
      </c>
      <c r="B229" s="2">
        <v>118805</v>
      </c>
      <c r="C229" s="2">
        <f t="shared" si="12"/>
        <v>118805</v>
      </c>
      <c r="D229" s="2"/>
      <c r="E229" s="2">
        <v>130305</v>
      </c>
      <c r="F229" s="2">
        <f t="shared" si="13"/>
        <v>130305</v>
      </c>
      <c r="G229" s="2">
        <f t="shared" si="14"/>
        <v>-11500</v>
      </c>
      <c r="H229" s="176"/>
      <c r="J229" s="68"/>
      <c r="K229" s="28"/>
      <c r="L229" s="28"/>
      <c r="M229" s="28"/>
      <c r="N229" s="28"/>
      <c r="O229" s="28"/>
      <c r="P229" s="29"/>
      <c r="Q229" s="54"/>
      <c r="R229" s="30"/>
    </row>
    <row r="230" spans="1:18" ht="15" hidden="1" customHeight="1" x14ac:dyDescent="0.3">
      <c r="A230" s="124">
        <v>45672</v>
      </c>
      <c r="B230" s="2"/>
      <c r="C230" s="2">
        <f t="shared" si="12"/>
        <v>0</v>
      </c>
      <c r="D230" s="2">
        <v>59990</v>
      </c>
      <c r="E230" s="2">
        <v>33083</v>
      </c>
      <c r="F230" s="2">
        <f t="shared" ref="F230:F246" si="15">D230+E230</f>
        <v>93073</v>
      </c>
      <c r="G230" s="2">
        <f t="shared" si="14"/>
        <v>-93073</v>
      </c>
      <c r="H230" s="176"/>
      <c r="J230" s="68"/>
      <c r="K230" s="28"/>
      <c r="L230" s="28"/>
      <c r="M230" s="28"/>
      <c r="N230" s="28"/>
      <c r="O230" s="28"/>
      <c r="P230" s="29"/>
      <c r="Q230" s="54"/>
      <c r="R230" s="30"/>
    </row>
    <row r="231" spans="1:18" ht="15" hidden="1" customHeight="1" x14ac:dyDescent="0.3">
      <c r="A231" s="124">
        <v>45673</v>
      </c>
      <c r="B231" s="2"/>
      <c r="C231" s="2">
        <f t="shared" si="12"/>
        <v>0</v>
      </c>
      <c r="D231" s="2"/>
      <c r="E231" s="2">
        <v>16699</v>
      </c>
      <c r="F231" s="2">
        <f t="shared" si="15"/>
        <v>16699</v>
      </c>
      <c r="G231" s="2">
        <f t="shared" si="14"/>
        <v>-16699</v>
      </c>
      <c r="H231" s="56"/>
      <c r="J231" s="68"/>
      <c r="K231" s="28"/>
      <c r="L231" s="28"/>
      <c r="M231" s="28"/>
      <c r="N231" s="28"/>
      <c r="O231" s="28"/>
      <c r="P231" s="29"/>
      <c r="Q231" s="54"/>
      <c r="R231" s="30"/>
    </row>
    <row r="232" spans="1:18" ht="15" hidden="1" customHeight="1" x14ac:dyDescent="0.3">
      <c r="A232" s="124">
        <v>45674</v>
      </c>
      <c r="B232" s="2">
        <v>3365320</v>
      </c>
      <c r="C232" s="2">
        <f t="shared" si="12"/>
        <v>3365320</v>
      </c>
      <c r="D232" s="2"/>
      <c r="E232" s="2">
        <v>5950</v>
      </c>
      <c r="F232" s="2">
        <f t="shared" si="15"/>
        <v>5950</v>
      </c>
      <c r="G232" s="2">
        <f t="shared" si="14"/>
        <v>3359370</v>
      </c>
      <c r="H232" s="176"/>
      <c r="J232" s="68"/>
      <c r="K232" s="28"/>
      <c r="L232" s="28"/>
      <c r="M232" s="28"/>
      <c r="N232" s="28"/>
      <c r="O232" s="28"/>
      <c r="P232" s="29"/>
      <c r="Q232" s="54"/>
      <c r="R232" s="30"/>
    </row>
    <row r="233" spans="1:18" ht="15" hidden="1" customHeight="1" x14ac:dyDescent="0.3">
      <c r="A233" s="124">
        <v>45675</v>
      </c>
      <c r="B233" s="2">
        <v>86500</v>
      </c>
      <c r="C233" s="2">
        <f t="shared" si="12"/>
        <v>86500</v>
      </c>
      <c r="D233" s="2">
        <v>25000</v>
      </c>
      <c r="E233" s="2"/>
      <c r="F233" s="2">
        <f t="shared" si="15"/>
        <v>25000</v>
      </c>
      <c r="G233" s="2">
        <f t="shared" si="14"/>
        <v>61500</v>
      </c>
      <c r="H233" s="176"/>
      <c r="J233" s="68"/>
      <c r="K233" s="28"/>
      <c r="L233" s="28"/>
      <c r="M233" s="28"/>
      <c r="N233" s="28"/>
      <c r="O233" s="28"/>
      <c r="P233" s="29"/>
      <c r="Q233" s="54"/>
      <c r="R233" s="30"/>
    </row>
    <row r="234" spans="1:18" ht="15" hidden="1" customHeight="1" x14ac:dyDescent="0.3">
      <c r="A234" s="124">
        <v>45676</v>
      </c>
      <c r="B234" s="2"/>
      <c r="C234" s="2">
        <f t="shared" si="12"/>
        <v>0</v>
      </c>
      <c r="D234" s="2">
        <v>40000</v>
      </c>
      <c r="E234" s="2"/>
      <c r="F234" s="2">
        <f t="shared" si="15"/>
        <v>40000</v>
      </c>
      <c r="G234" s="2">
        <f t="shared" si="14"/>
        <v>-40000</v>
      </c>
      <c r="H234" s="205" t="s">
        <v>249</v>
      </c>
      <c r="J234" s="68"/>
      <c r="K234" s="28"/>
      <c r="L234" s="28"/>
      <c r="M234" s="28"/>
      <c r="N234" s="28"/>
      <c r="O234" s="28"/>
      <c r="P234" s="29"/>
      <c r="Q234" s="54"/>
      <c r="R234" s="30"/>
    </row>
    <row r="235" spans="1:18" ht="15" hidden="1" customHeight="1" x14ac:dyDescent="0.3">
      <c r="A235" s="124">
        <v>45677</v>
      </c>
      <c r="B235" s="2"/>
      <c r="C235" s="2">
        <f t="shared" si="12"/>
        <v>0</v>
      </c>
      <c r="D235" s="2">
        <v>79041</v>
      </c>
      <c r="E235" s="2">
        <v>65259</v>
      </c>
      <c r="F235" s="2">
        <f t="shared" si="15"/>
        <v>144300</v>
      </c>
      <c r="G235" s="2">
        <f t="shared" si="14"/>
        <v>-144300</v>
      </c>
      <c r="H235" s="176" t="s">
        <v>248</v>
      </c>
      <c r="J235" s="68"/>
      <c r="K235" s="28"/>
      <c r="L235" s="28"/>
      <c r="M235" s="28"/>
      <c r="N235" s="28"/>
      <c r="O235" s="28"/>
      <c r="P235" s="29"/>
      <c r="Q235" s="54"/>
      <c r="R235" s="30"/>
    </row>
    <row r="236" spans="1:18" ht="15" hidden="1" customHeight="1" x14ac:dyDescent="0.3">
      <c r="A236" s="124">
        <v>45678</v>
      </c>
      <c r="B236" s="2">
        <v>172807</v>
      </c>
      <c r="C236" s="2">
        <f t="shared" si="12"/>
        <v>172807</v>
      </c>
      <c r="D236" s="2"/>
      <c r="E236" s="2">
        <v>14430</v>
      </c>
      <c r="F236" s="2">
        <f t="shared" si="15"/>
        <v>14430</v>
      </c>
      <c r="G236" s="2">
        <f t="shared" si="14"/>
        <v>158377</v>
      </c>
      <c r="H236" s="176"/>
      <c r="J236" s="68"/>
      <c r="K236" s="28"/>
      <c r="L236" s="28"/>
      <c r="M236" s="28"/>
      <c r="N236" s="28"/>
      <c r="O236" s="28"/>
      <c r="P236" s="29"/>
      <c r="Q236" s="54"/>
      <c r="R236" s="30"/>
    </row>
    <row r="237" spans="1:18" ht="15" hidden="1" customHeight="1" x14ac:dyDescent="0.3">
      <c r="A237" s="124">
        <v>45679</v>
      </c>
      <c r="B237" s="2">
        <v>32000</v>
      </c>
      <c r="C237" s="2">
        <f t="shared" si="12"/>
        <v>32000</v>
      </c>
      <c r="D237" s="2"/>
      <c r="E237" s="2">
        <v>25940</v>
      </c>
      <c r="F237" s="2">
        <f t="shared" si="15"/>
        <v>25940</v>
      </c>
      <c r="G237" s="2">
        <f t="shared" si="14"/>
        <v>6060</v>
      </c>
      <c r="H237" s="176"/>
      <c r="J237" s="68"/>
      <c r="K237" s="28"/>
      <c r="L237" s="28"/>
      <c r="M237" s="28"/>
      <c r="N237" s="28"/>
      <c r="O237" s="28"/>
      <c r="P237" s="29"/>
      <c r="Q237" s="54"/>
      <c r="R237" s="30"/>
    </row>
    <row r="238" spans="1:18" ht="15" hidden="1" customHeight="1" x14ac:dyDescent="0.3">
      <c r="A238" s="124">
        <v>45680</v>
      </c>
      <c r="B238" s="2"/>
      <c r="C238" s="2">
        <f t="shared" si="12"/>
        <v>0</v>
      </c>
      <c r="D238" s="2">
        <v>15000</v>
      </c>
      <c r="E238" s="2">
        <v>14580</v>
      </c>
      <c r="F238" s="2">
        <f t="shared" si="15"/>
        <v>29580</v>
      </c>
      <c r="G238" s="2">
        <f t="shared" si="14"/>
        <v>-29580</v>
      </c>
      <c r="H238" s="176"/>
      <c r="J238" s="68"/>
      <c r="K238" s="28"/>
      <c r="L238" s="28"/>
      <c r="M238" s="28"/>
      <c r="N238" s="28"/>
      <c r="O238" s="28"/>
      <c r="P238" s="29"/>
      <c r="Q238" s="54"/>
      <c r="R238" s="30"/>
    </row>
    <row r="239" spans="1:18" ht="15" hidden="1" customHeight="1" x14ac:dyDescent="0.3">
      <c r="A239" s="124">
        <v>45681</v>
      </c>
      <c r="B239" s="2"/>
      <c r="C239" s="2">
        <f t="shared" si="12"/>
        <v>0</v>
      </c>
      <c r="D239" s="2">
        <v>122500</v>
      </c>
      <c r="E239" s="2">
        <v>86900</v>
      </c>
      <c r="F239" s="2">
        <f t="shared" si="15"/>
        <v>209400</v>
      </c>
      <c r="G239" s="2">
        <f t="shared" si="14"/>
        <v>-209400</v>
      </c>
      <c r="H239" s="176" t="s">
        <v>186</v>
      </c>
      <c r="J239" s="68"/>
      <c r="K239" s="28"/>
      <c r="L239" s="28"/>
      <c r="M239" s="28"/>
      <c r="N239" s="28"/>
      <c r="O239" s="28"/>
      <c r="P239" s="29"/>
      <c r="Q239" s="54"/>
      <c r="R239" s="30"/>
    </row>
    <row r="240" spans="1:18" ht="15" hidden="1" customHeight="1" x14ac:dyDescent="0.3">
      <c r="A240" s="124">
        <v>45682</v>
      </c>
      <c r="B240" s="2">
        <v>158200</v>
      </c>
      <c r="C240" s="2">
        <f t="shared" si="12"/>
        <v>158200</v>
      </c>
      <c r="D240" s="2">
        <v>184807</v>
      </c>
      <c r="E240" s="2">
        <v>168382</v>
      </c>
      <c r="F240" s="2">
        <f t="shared" si="15"/>
        <v>353189</v>
      </c>
      <c r="G240" s="2">
        <f t="shared" si="14"/>
        <v>-194989</v>
      </c>
      <c r="H240" s="176" t="s">
        <v>250</v>
      </c>
      <c r="J240" s="68"/>
      <c r="K240" s="28"/>
      <c r="L240" s="28"/>
      <c r="M240" s="28"/>
      <c r="N240" s="28"/>
      <c r="O240" s="28"/>
      <c r="P240" s="29"/>
      <c r="Q240" s="54"/>
      <c r="R240" s="30"/>
    </row>
    <row r="241" spans="1:18" ht="15" hidden="1" customHeight="1" x14ac:dyDescent="0.3">
      <c r="A241" s="124">
        <v>45683</v>
      </c>
      <c r="B241" s="2"/>
      <c r="C241" s="2">
        <f t="shared" si="12"/>
        <v>0</v>
      </c>
      <c r="D241" s="2">
        <v>20000</v>
      </c>
      <c r="E241" s="2"/>
      <c r="F241" s="2">
        <f t="shared" si="15"/>
        <v>20000</v>
      </c>
      <c r="G241" s="2">
        <f t="shared" si="14"/>
        <v>-20000</v>
      </c>
      <c r="H241" s="176"/>
      <c r="J241" s="68"/>
      <c r="K241" s="28"/>
      <c r="L241" s="28"/>
      <c r="M241" s="28"/>
      <c r="N241" s="28"/>
      <c r="O241" s="28"/>
      <c r="P241" s="29"/>
      <c r="Q241" s="54"/>
      <c r="R241" s="30"/>
    </row>
    <row r="242" spans="1:18" ht="15" hidden="1" customHeight="1" x14ac:dyDescent="0.3">
      <c r="A242" s="124">
        <v>45684</v>
      </c>
      <c r="B242" s="2"/>
      <c r="C242" s="2">
        <f t="shared" si="12"/>
        <v>0</v>
      </c>
      <c r="D242" s="2"/>
      <c r="E242" s="2">
        <v>43413</v>
      </c>
      <c r="F242" s="2">
        <f t="shared" si="15"/>
        <v>43413</v>
      </c>
      <c r="G242" s="2">
        <f t="shared" si="14"/>
        <v>-43413</v>
      </c>
      <c r="H242" s="176"/>
      <c r="J242" s="68"/>
      <c r="K242" s="28"/>
      <c r="L242" s="28"/>
      <c r="M242" s="28"/>
      <c r="N242" s="28"/>
      <c r="O242" s="28"/>
      <c r="P242" s="29"/>
      <c r="Q242" s="54"/>
      <c r="R242" s="30"/>
    </row>
    <row r="243" spans="1:18" ht="15" hidden="1" customHeight="1" x14ac:dyDescent="0.3">
      <c r="A243" s="124">
        <v>45685</v>
      </c>
      <c r="B243" s="2">
        <v>129605</v>
      </c>
      <c r="C243" s="2">
        <f t="shared" si="12"/>
        <v>129605</v>
      </c>
      <c r="D243" s="2"/>
      <c r="E243" s="2">
        <v>68831</v>
      </c>
      <c r="F243" s="2">
        <f t="shared" si="15"/>
        <v>68831</v>
      </c>
      <c r="G243" s="2">
        <f t="shared" si="14"/>
        <v>60774</v>
      </c>
      <c r="H243" s="176"/>
      <c r="J243" s="28"/>
      <c r="K243" s="28"/>
      <c r="L243" s="28"/>
      <c r="M243" s="28"/>
      <c r="N243" s="28"/>
      <c r="O243" s="28"/>
      <c r="P243" s="29"/>
      <c r="Q243" s="54"/>
      <c r="R243" s="30"/>
    </row>
    <row r="244" spans="1:18" ht="15" hidden="1" customHeight="1" x14ac:dyDescent="0.3">
      <c r="A244" s="124">
        <v>45686</v>
      </c>
      <c r="B244" s="2"/>
      <c r="C244" s="2">
        <f t="shared" si="12"/>
        <v>0</v>
      </c>
      <c r="D244" s="2"/>
      <c r="E244" s="2">
        <v>58700</v>
      </c>
      <c r="F244" s="2">
        <f t="shared" si="15"/>
        <v>58700</v>
      </c>
      <c r="G244" s="2">
        <f t="shared" si="14"/>
        <v>-58700</v>
      </c>
      <c r="H244" s="176"/>
      <c r="J244" s="68"/>
      <c r="K244" s="28"/>
      <c r="L244" s="28"/>
      <c r="M244" s="28"/>
      <c r="N244" s="28"/>
      <c r="O244" s="28"/>
      <c r="P244" s="29"/>
      <c r="Q244" s="54"/>
      <c r="R244" s="30"/>
    </row>
    <row r="245" spans="1:18" ht="15" hidden="1" customHeight="1" x14ac:dyDescent="0.3">
      <c r="A245" s="124">
        <v>45687</v>
      </c>
      <c r="B245" s="2">
        <v>1073153</v>
      </c>
      <c r="C245" s="2">
        <f t="shared" si="12"/>
        <v>1073153</v>
      </c>
      <c r="D245" s="2"/>
      <c r="E245" s="2"/>
      <c r="F245" s="2">
        <f t="shared" si="15"/>
        <v>0</v>
      </c>
      <c r="G245" s="2">
        <f t="shared" si="14"/>
        <v>1073153</v>
      </c>
      <c r="H245" s="176"/>
      <c r="J245" s="68"/>
      <c r="K245" s="28"/>
      <c r="L245" s="28"/>
      <c r="M245" s="28"/>
      <c r="N245" s="28"/>
      <c r="O245" s="28"/>
      <c r="P245" s="29"/>
      <c r="Q245" s="54"/>
      <c r="R245" s="30"/>
    </row>
    <row r="246" spans="1:18" ht="15" hidden="1" customHeight="1" x14ac:dyDescent="0.3">
      <c r="A246" s="124">
        <v>45688</v>
      </c>
      <c r="B246" s="2">
        <v>480000</v>
      </c>
      <c r="C246" s="2">
        <f t="shared" si="12"/>
        <v>480000</v>
      </c>
      <c r="D246" s="2"/>
      <c r="E246" s="2"/>
      <c r="F246" s="2">
        <f t="shared" si="15"/>
        <v>0</v>
      </c>
      <c r="G246" s="2">
        <f t="shared" si="14"/>
        <v>480000</v>
      </c>
      <c r="H246" s="176"/>
      <c r="J246" s="68"/>
      <c r="K246" s="28"/>
      <c r="L246" s="28"/>
      <c r="M246" s="28"/>
      <c r="N246" s="28"/>
      <c r="O246" s="28"/>
      <c r="P246" s="29"/>
      <c r="Q246" s="54"/>
      <c r="R246" s="30"/>
    </row>
    <row r="247" spans="1:18" ht="15" hidden="1" customHeight="1" x14ac:dyDescent="0.3">
      <c r="A247" s="206" t="s">
        <v>54</v>
      </c>
      <c r="B247" s="2">
        <f t="shared" ref="B247:G247" si="16">SUM(B216:B246)</f>
        <v>6988637</v>
      </c>
      <c r="C247" s="2">
        <f t="shared" si="16"/>
        <v>6988637</v>
      </c>
      <c r="D247" s="2">
        <f t="shared" si="16"/>
        <v>1640112</v>
      </c>
      <c r="E247" s="2">
        <f t="shared" si="16"/>
        <v>1411189</v>
      </c>
      <c r="F247" s="2">
        <f t="shared" si="16"/>
        <v>3051301</v>
      </c>
      <c r="G247" s="2">
        <f t="shared" si="16"/>
        <v>3937336</v>
      </c>
      <c r="H247" s="178"/>
      <c r="J247" s="68"/>
      <c r="K247" s="28"/>
      <c r="L247" s="28"/>
      <c r="M247" s="28"/>
      <c r="N247" s="28"/>
      <c r="O247" s="28"/>
      <c r="P247" s="29"/>
      <c r="Q247" s="54"/>
      <c r="R247" s="30"/>
    </row>
    <row r="248" spans="1:18" ht="15" hidden="1" customHeight="1" x14ac:dyDescent="0.3">
      <c r="A248" s="124"/>
      <c r="B248" s="2"/>
      <c r="C248" s="2"/>
      <c r="D248" s="2"/>
      <c r="E248" s="2"/>
      <c r="F248" s="2"/>
      <c r="G248" s="2"/>
      <c r="H248"/>
      <c r="J248" s="68"/>
      <c r="K248" s="28"/>
      <c r="L248" s="28"/>
      <c r="M248" s="28"/>
      <c r="N248" s="28"/>
      <c r="O248" s="28"/>
      <c r="P248" s="29"/>
      <c r="Q248" s="54"/>
      <c r="R248" s="30"/>
    </row>
    <row r="249" spans="1:18" ht="15" hidden="1" customHeight="1" x14ac:dyDescent="0.3">
      <c r="A249" s="124"/>
      <c r="B249" s="2"/>
      <c r="C249" s="2"/>
      <c r="D249" s="2"/>
      <c r="E249" s="2"/>
      <c r="F249" s="2"/>
      <c r="G249" s="2"/>
      <c r="H249"/>
      <c r="J249" s="68"/>
      <c r="K249" s="28"/>
      <c r="L249" s="28"/>
      <c r="M249" s="28"/>
      <c r="N249" s="28"/>
      <c r="O249" s="28"/>
      <c r="P249" s="29"/>
      <c r="Q249" s="54"/>
      <c r="R249" s="30"/>
    </row>
    <row r="250" spans="1:18" ht="15" hidden="1" customHeight="1" x14ac:dyDescent="0.3">
      <c r="A250" s="124"/>
      <c r="B250" s="2"/>
      <c r="C250" s="2"/>
      <c r="D250" s="2"/>
      <c r="E250" s="2"/>
      <c r="F250" s="2"/>
      <c r="G250" s="2"/>
      <c r="H250"/>
      <c r="J250" s="68"/>
      <c r="K250" s="28"/>
      <c r="L250" s="28"/>
      <c r="M250" s="28"/>
      <c r="N250" s="28"/>
      <c r="O250" s="28"/>
      <c r="P250" s="29"/>
      <c r="Q250" s="54"/>
      <c r="R250" s="30"/>
    </row>
    <row r="251" spans="1:18" ht="15" hidden="1" customHeight="1" x14ac:dyDescent="0.3">
      <c r="A251" s="124">
        <v>45627</v>
      </c>
      <c r="B251" s="2">
        <v>20833</v>
      </c>
      <c r="C251" s="2">
        <v>20833</v>
      </c>
      <c r="D251" s="2"/>
      <c r="E251" s="2">
        <v>40000</v>
      </c>
      <c r="F251" s="2">
        <f>D251+E251</f>
        <v>40000</v>
      </c>
      <c r="G251" s="2">
        <f>C251-F251</f>
        <v>-19167</v>
      </c>
      <c r="H251"/>
      <c r="J251" s="68"/>
      <c r="K251" s="28"/>
      <c r="L251" s="28"/>
      <c r="M251" s="28"/>
      <c r="N251" s="28"/>
      <c r="O251" s="28"/>
      <c r="P251" s="29"/>
      <c r="Q251" s="54"/>
      <c r="R251" s="30"/>
    </row>
    <row r="252" spans="1:18" ht="15" hidden="1" customHeight="1" x14ac:dyDescent="0.3">
      <c r="A252" s="124">
        <v>45628</v>
      </c>
      <c r="B252" s="2">
        <v>79968</v>
      </c>
      <c r="C252" s="2">
        <v>79968</v>
      </c>
      <c r="D252" s="2">
        <v>22000</v>
      </c>
      <c r="E252" s="2">
        <v>16356</v>
      </c>
      <c r="F252" s="2">
        <f t="shared" ref="F252:F281" si="17">D252+E252</f>
        <v>38356</v>
      </c>
      <c r="G252" s="2">
        <f t="shared" ref="G252:G281" si="18">C252-F252</f>
        <v>41612</v>
      </c>
      <c r="H252"/>
      <c r="J252" s="68"/>
      <c r="K252" s="28"/>
      <c r="L252" s="28"/>
      <c r="M252" s="28"/>
      <c r="N252" s="28"/>
      <c r="O252" s="28"/>
      <c r="P252" s="29"/>
      <c r="Q252" s="54"/>
      <c r="R252" s="30"/>
    </row>
    <row r="253" spans="1:18" ht="15" hidden="1" customHeight="1" x14ac:dyDescent="0.3">
      <c r="A253" s="124">
        <v>45629</v>
      </c>
      <c r="B253" s="2">
        <v>43202</v>
      </c>
      <c r="C253" s="2">
        <v>43202</v>
      </c>
      <c r="D253" s="2">
        <v>149609</v>
      </c>
      <c r="E253" s="2">
        <v>85396</v>
      </c>
      <c r="F253" s="2">
        <f t="shared" si="17"/>
        <v>235005</v>
      </c>
      <c r="G253" s="2">
        <f t="shared" si="18"/>
        <v>-191803</v>
      </c>
      <c r="H253"/>
      <c r="J253" s="68"/>
      <c r="K253" s="28"/>
      <c r="L253" s="28"/>
      <c r="M253" s="28"/>
      <c r="N253" s="28"/>
      <c r="O253" s="28"/>
      <c r="P253" s="29"/>
      <c r="Q253" s="54"/>
      <c r="R253" s="30"/>
    </row>
    <row r="254" spans="1:18" ht="15" hidden="1" customHeight="1" x14ac:dyDescent="0.3">
      <c r="A254" s="124">
        <v>45630</v>
      </c>
      <c r="B254" s="2">
        <v>79968</v>
      </c>
      <c r="C254" s="2">
        <v>79968</v>
      </c>
      <c r="D254" s="2"/>
      <c r="E254" s="2">
        <v>19301</v>
      </c>
      <c r="F254" s="2">
        <f t="shared" si="17"/>
        <v>19301</v>
      </c>
      <c r="G254" s="2">
        <f t="shared" si="18"/>
        <v>60667</v>
      </c>
      <c r="H254"/>
      <c r="J254" s="68"/>
      <c r="K254" s="28"/>
      <c r="L254" s="28"/>
      <c r="M254" s="28"/>
      <c r="N254" s="28"/>
      <c r="O254" s="28"/>
      <c r="P254" s="29"/>
      <c r="Q254" s="54"/>
      <c r="R254" s="30"/>
    </row>
    <row r="255" spans="1:18" ht="15" hidden="1" customHeight="1" x14ac:dyDescent="0.3">
      <c r="A255" s="124">
        <v>45631</v>
      </c>
      <c r="B255" s="2"/>
      <c r="C255" s="2">
        <v>0</v>
      </c>
      <c r="D255" s="2">
        <v>740000</v>
      </c>
      <c r="E255" s="2">
        <v>65536</v>
      </c>
      <c r="F255" s="2">
        <f t="shared" si="17"/>
        <v>805536</v>
      </c>
      <c r="G255" s="2">
        <f t="shared" si="18"/>
        <v>-805536</v>
      </c>
      <c r="H255"/>
      <c r="J255" s="68"/>
      <c r="K255" s="28"/>
      <c r="L255" s="28"/>
      <c r="M255" s="28"/>
      <c r="N255" s="28"/>
      <c r="O255" s="28"/>
      <c r="P255" s="29"/>
      <c r="Q255" s="54"/>
      <c r="R255" s="30"/>
    </row>
    <row r="256" spans="1:18" ht="15" hidden="1" customHeight="1" x14ac:dyDescent="0.3">
      <c r="A256" s="124">
        <v>45632</v>
      </c>
      <c r="B256" s="2">
        <v>3439100</v>
      </c>
      <c r="C256" s="2">
        <v>3439100</v>
      </c>
      <c r="D256" s="2"/>
      <c r="E256" s="2">
        <v>7099</v>
      </c>
      <c r="F256" s="2">
        <f t="shared" si="17"/>
        <v>7099</v>
      </c>
      <c r="G256" s="2">
        <f t="shared" si="18"/>
        <v>3432001</v>
      </c>
      <c r="H256"/>
      <c r="J256" s="68"/>
      <c r="K256" s="28"/>
      <c r="L256" s="28"/>
      <c r="M256" s="28"/>
      <c r="N256" s="28"/>
      <c r="O256" s="28"/>
      <c r="P256" s="29"/>
      <c r="Q256" s="54"/>
      <c r="R256" s="30"/>
    </row>
    <row r="257" spans="1:18" ht="15" hidden="1" customHeight="1" x14ac:dyDescent="0.3">
      <c r="A257" s="124">
        <v>45633</v>
      </c>
      <c r="B257" s="2">
        <v>140000</v>
      </c>
      <c r="C257" s="2">
        <v>140000</v>
      </c>
      <c r="D257" s="2"/>
      <c r="E257" s="2">
        <v>121797</v>
      </c>
      <c r="F257" s="2">
        <f t="shared" si="17"/>
        <v>121797</v>
      </c>
      <c r="G257" s="2">
        <f t="shared" si="18"/>
        <v>18203</v>
      </c>
      <c r="H257"/>
      <c r="J257" s="68"/>
      <c r="K257" s="28"/>
      <c r="L257" s="28"/>
      <c r="M257" s="28"/>
      <c r="N257" s="28"/>
      <c r="O257" s="28"/>
      <c r="P257" s="29"/>
      <c r="Q257" s="54"/>
      <c r="R257" s="30"/>
    </row>
    <row r="258" spans="1:18" ht="15" hidden="1" customHeight="1" x14ac:dyDescent="0.3">
      <c r="A258" s="124">
        <v>45634</v>
      </c>
      <c r="B258" s="2"/>
      <c r="C258" s="2">
        <v>0</v>
      </c>
      <c r="D258" s="2">
        <v>45000</v>
      </c>
      <c r="E258" s="2"/>
      <c r="F258" s="2">
        <f t="shared" si="17"/>
        <v>45000</v>
      </c>
      <c r="G258" s="2">
        <f t="shared" si="18"/>
        <v>-45000</v>
      </c>
      <c r="H258"/>
      <c r="J258" s="68"/>
      <c r="K258" s="28"/>
      <c r="L258" s="28"/>
      <c r="M258" s="28"/>
      <c r="N258" s="28"/>
      <c r="O258" s="28"/>
      <c r="P258" s="29"/>
      <c r="Q258" s="54"/>
      <c r="R258" s="30"/>
    </row>
    <row r="259" spans="1:18" ht="15" hidden="1" customHeight="1" x14ac:dyDescent="0.3">
      <c r="A259" s="124">
        <v>45635</v>
      </c>
      <c r="B259" s="2">
        <v>79968</v>
      </c>
      <c r="C259" s="2">
        <v>79968</v>
      </c>
      <c r="D259" s="2">
        <v>20000</v>
      </c>
      <c r="E259" s="2">
        <v>22365</v>
      </c>
      <c r="F259" s="2">
        <f t="shared" si="17"/>
        <v>42365</v>
      </c>
      <c r="G259" s="2">
        <f t="shared" si="18"/>
        <v>37603</v>
      </c>
      <c r="H259"/>
      <c r="J259" s="68"/>
      <c r="K259" s="28"/>
      <c r="L259" s="28"/>
      <c r="M259" s="28"/>
      <c r="N259" s="28"/>
      <c r="O259" s="28"/>
      <c r="P259" s="29"/>
      <c r="Q259" s="54"/>
      <c r="R259" s="30"/>
    </row>
    <row r="260" spans="1:18" ht="15" hidden="1" customHeight="1" x14ac:dyDescent="0.3">
      <c r="A260" s="124">
        <v>45636</v>
      </c>
      <c r="B260" s="2"/>
      <c r="C260" s="2">
        <v>0</v>
      </c>
      <c r="D260" s="2">
        <v>557000</v>
      </c>
      <c r="E260" s="2"/>
      <c r="F260" s="2">
        <f t="shared" si="17"/>
        <v>557000</v>
      </c>
      <c r="G260" s="2">
        <f t="shared" si="18"/>
        <v>-557000</v>
      </c>
      <c r="H260"/>
      <c r="J260" s="68"/>
      <c r="K260" s="28"/>
      <c r="L260" s="28"/>
      <c r="M260" s="28"/>
      <c r="N260" s="28"/>
      <c r="O260" s="28"/>
      <c r="P260" s="29"/>
      <c r="Q260" s="54"/>
      <c r="R260" s="30"/>
    </row>
    <row r="261" spans="1:18" ht="15" hidden="1" customHeight="1" x14ac:dyDescent="0.3">
      <c r="A261" s="124">
        <v>45637</v>
      </c>
      <c r="B261" s="2">
        <v>187973</v>
      </c>
      <c r="C261" s="2">
        <v>187973</v>
      </c>
      <c r="D261" s="2"/>
      <c r="E261" s="2">
        <v>200569</v>
      </c>
      <c r="F261" s="2">
        <f t="shared" si="17"/>
        <v>200569</v>
      </c>
      <c r="G261" s="2">
        <f t="shared" si="18"/>
        <v>-12596</v>
      </c>
      <c r="H261"/>
      <c r="J261" s="68"/>
      <c r="K261" s="28"/>
      <c r="L261" s="28"/>
      <c r="M261" s="28"/>
      <c r="N261" s="28"/>
      <c r="O261" s="28"/>
      <c r="P261" s="29"/>
      <c r="Q261" s="54"/>
      <c r="R261" s="30"/>
    </row>
    <row r="262" spans="1:18" ht="15" hidden="1" customHeight="1" x14ac:dyDescent="0.3">
      <c r="A262" s="124">
        <v>45638</v>
      </c>
      <c r="B262" s="2"/>
      <c r="C262" s="2">
        <v>0</v>
      </c>
      <c r="D262" s="2"/>
      <c r="E262" s="2"/>
      <c r="F262" s="2">
        <f t="shared" si="17"/>
        <v>0</v>
      </c>
      <c r="G262" s="2">
        <f t="shared" si="18"/>
        <v>0</v>
      </c>
      <c r="H262"/>
      <c r="J262" s="68"/>
      <c r="K262" s="28"/>
      <c r="L262" s="28"/>
      <c r="M262" s="28"/>
      <c r="N262" s="28"/>
      <c r="O262" s="28"/>
      <c r="P262" s="29"/>
      <c r="Q262" s="54"/>
      <c r="R262" s="30"/>
    </row>
    <row r="263" spans="1:18" ht="15" hidden="1" customHeight="1" x14ac:dyDescent="0.3">
      <c r="A263" s="124">
        <v>45639</v>
      </c>
      <c r="B263" s="2"/>
      <c r="C263" s="2">
        <v>0</v>
      </c>
      <c r="D263" s="2">
        <v>74625</v>
      </c>
      <c r="E263" s="2"/>
      <c r="F263" s="2">
        <f t="shared" si="17"/>
        <v>74625</v>
      </c>
      <c r="G263" s="2">
        <f t="shared" si="18"/>
        <v>-74625</v>
      </c>
      <c r="H263"/>
      <c r="J263" s="68"/>
      <c r="K263" s="28"/>
      <c r="L263" s="28"/>
      <c r="M263" s="28"/>
      <c r="N263" s="28"/>
      <c r="O263" s="28"/>
      <c r="P263" s="29"/>
      <c r="Q263" s="54"/>
      <c r="R263" s="30"/>
    </row>
    <row r="264" spans="1:18" ht="15" hidden="1" customHeight="1" x14ac:dyDescent="0.3">
      <c r="A264" s="124">
        <v>45640</v>
      </c>
      <c r="B264" s="2">
        <v>480000</v>
      </c>
      <c r="C264" s="2">
        <v>480000</v>
      </c>
      <c r="D264" s="2">
        <v>95749</v>
      </c>
      <c r="E264" s="2">
        <v>4360</v>
      </c>
      <c r="F264" s="2">
        <f t="shared" si="17"/>
        <v>100109</v>
      </c>
      <c r="G264" s="2">
        <f t="shared" si="18"/>
        <v>379891</v>
      </c>
      <c r="H264"/>
      <c r="J264" s="68"/>
      <c r="K264" s="28"/>
      <c r="L264" s="28"/>
      <c r="M264" s="28"/>
      <c r="N264" s="28"/>
      <c r="O264" s="28"/>
      <c r="P264" s="29"/>
      <c r="Q264" s="54"/>
      <c r="R264" s="30"/>
    </row>
    <row r="265" spans="1:18" ht="15" hidden="1" customHeight="1" x14ac:dyDescent="0.3">
      <c r="A265" s="124">
        <v>45641</v>
      </c>
      <c r="B265" s="2"/>
      <c r="C265" s="2">
        <v>0</v>
      </c>
      <c r="D265" s="2">
        <v>31005</v>
      </c>
      <c r="E265" s="2">
        <v>72088</v>
      </c>
      <c r="F265" s="2">
        <f t="shared" si="17"/>
        <v>103093</v>
      </c>
      <c r="G265" s="2">
        <f t="shared" si="18"/>
        <v>-103093</v>
      </c>
      <c r="H265"/>
      <c r="J265" s="68"/>
      <c r="K265" s="28"/>
      <c r="L265" s="28"/>
      <c r="M265" s="28"/>
      <c r="N265" s="28"/>
      <c r="O265" s="28"/>
      <c r="P265" s="29"/>
      <c r="Q265" s="54"/>
      <c r="R265" s="30"/>
    </row>
    <row r="266" spans="1:18" ht="15" hidden="1" customHeight="1" x14ac:dyDescent="0.3">
      <c r="A266" s="124">
        <v>45642</v>
      </c>
      <c r="B266" s="2">
        <v>590968</v>
      </c>
      <c r="C266" s="2">
        <v>590968</v>
      </c>
      <c r="D266" s="2">
        <v>140000</v>
      </c>
      <c r="E266" s="2">
        <f>64450+33012+7448</f>
        <v>104910</v>
      </c>
      <c r="F266" s="2">
        <f t="shared" si="17"/>
        <v>244910</v>
      </c>
      <c r="G266" s="2">
        <f t="shared" si="18"/>
        <v>346058</v>
      </c>
      <c r="H266"/>
      <c r="J266" s="68"/>
      <c r="K266" s="28"/>
      <c r="L266" s="28"/>
      <c r="M266" s="28"/>
      <c r="N266" s="28"/>
      <c r="O266" s="28"/>
      <c r="P266" s="29"/>
      <c r="Q266" s="54"/>
      <c r="R266" s="30"/>
    </row>
    <row r="267" spans="1:18" ht="15" hidden="1" customHeight="1" x14ac:dyDescent="0.3">
      <c r="A267" s="124">
        <v>45643</v>
      </c>
      <c r="B267" s="2">
        <v>313490</v>
      </c>
      <c r="C267" s="2">
        <v>313490</v>
      </c>
      <c r="D267" s="2">
        <v>14990</v>
      </c>
      <c r="E267" s="2">
        <f>27119+192269</f>
        <v>219388</v>
      </c>
      <c r="F267" s="2">
        <f t="shared" si="17"/>
        <v>234378</v>
      </c>
      <c r="G267" s="2">
        <f t="shared" si="18"/>
        <v>79112</v>
      </c>
      <c r="H267"/>
      <c r="J267" s="68"/>
      <c r="K267" s="28"/>
      <c r="L267" s="28"/>
      <c r="M267" s="28"/>
      <c r="N267" s="28"/>
      <c r="O267" s="28"/>
      <c r="P267" s="29"/>
      <c r="Q267" s="54"/>
      <c r="R267" s="30"/>
    </row>
    <row r="268" spans="1:18" ht="15" hidden="1" customHeight="1" x14ac:dyDescent="0.3">
      <c r="A268" s="124">
        <v>45644</v>
      </c>
      <c r="B268" s="2">
        <v>1679968</v>
      </c>
      <c r="C268" s="2">
        <v>1679968</v>
      </c>
      <c r="D268" s="2">
        <f>87233+15000</f>
        <v>102233</v>
      </c>
      <c r="E268" s="2">
        <v>18148</v>
      </c>
      <c r="F268" s="2">
        <f t="shared" si="17"/>
        <v>120381</v>
      </c>
      <c r="G268" s="2">
        <f t="shared" si="18"/>
        <v>1559587</v>
      </c>
      <c r="H268"/>
      <c r="J268" s="68"/>
      <c r="K268" s="28"/>
      <c r="L268" s="28"/>
      <c r="M268" s="28"/>
      <c r="N268" s="28"/>
      <c r="O268" s="28"/>
      <c r="P268" s="29"/>
      <c r="Q268" s="54"/>
      <c r="R268" s="30"/>
    </row>
    <row r="269" spans="1:18" ht="15" hidden="1" customHeight="1" x14ac:dyDescent="0.3">
      <c r="A269" s="124">
        <v>45645</v>
      </c>
      <c r="B269" s="2"/>
      <c r="C269" s="2">
        <v>0</v>
      </c>
      <c r="D269" s="2">
        <f>30000+90000</f>
        <v>120000</v>
      </c>
      <c r="E269" s="2">
        <f>79190+46872+146921+7806+69502</f>
        <v>350291</v>
      </c>
      <c r="F269" s="2">
        <f t="shared" si="17"/>
        <v>470291</v>
      </c>
      <c r="G269" s="2">
        <f t="shared" si="18"/>
        <v>-470291</v>
      </c>
      <c r="H269"/>
      <c r="J269" s="68"/>
      <c r="K269" s="28"/>
      <c r="L269" s="28"/>
      <c r="M269" s="28"/>
      <c r="N269" s="28"/>
      <c r="O269" s="28"/>
      <c r="P269" s="29"/>
      <c r="Q269" s="54"/>
      <c r="R269" s="30"/>
    </row>
    <row r="270" spans="1:18" ht="15" hidden="1" customHeight="1" x14ac:dyDescent="0.3">
      <c r="A270" s="124">
        <v>45646</v>
      </c>
      <c r="B270" s="2">
        <v>2098025</v>
      </c>
      <c r="C270" s="2">
        <v>2098025</v>
      </c>
      <c r="D270" s="2">
        <v>10000</v>
      </c>
      <c r="E270" s="2">
        <v>3881</v>
      </c>
      <c r="F270" s="2">
        <f t="shared" si="17"/>
        <v>13881</v>
      </c>
      <c r="G270" s="2">
        <f t="shared" si="18"/>
        <v>2084144</v>
      </c>
      <c r="H270"/>
      <c r="J270" s="68"/>
      <c r="K270" s="28"/>
      <c r="L270" s="28"/>
      <c r="M270" s="28"/>
      <c r="N270" s="28"/>
      <c r="O270" s="28"/>
      <c r="P270" s="29"/>
      <c r="Q270" s="54"/>
      <c r="R270" s="30"/>
    </row>
    <row r="271" spans="1:18" ht="15" hidden="1" customHeight="1" x14ac:dyDescent="0.3">
      <c r="A271" s="124">
        <v>45647</v>
      </c>
      <c r="B271" s="2">
        <v>226704</v>
      </c>
      <c r="C271" s="2">
        <v>226704</v>
      </c>
      <c r="D271" s="2">
        <f>160000+50000+30000+70000+70000+30000+130000+30000</f>
        <v>570000</v>
      </c>
      <c r="E271" s="2"/>
      <c r="F271" s="2">
        <f t="shared" si="17"/>
        <v>570000</v>
      </c>
      <c r="G271" s="2">
        <f t="shared" si="18"/>
        <v>-343296</v>
      </c>
      <c r="H271"/>
      <c r="J271" s="68"/>
      <c r="K271" s="28"/>
      <c r="L271" s="28"/>
      <c r="M271" s="28"/>
      <c r="N271" s="28"/>
      <c r="O271" s="28"/>
      <c r="P271" s="29"/>
      <c r="Q271" s="54"/>
      <c r="R271" s="30"/>
    </row>
    <row r="272" spans="1:18" ht="15" hidden="1" customHeight="1" x14ac:dyDescent="0.3">
      <c r="A272" s="124">
        <v>45648</v>
      </c>
      <c r="B272" s="2">
        <v>36000</v>
      </c>
      <c r="C272" s="2">
        <v>36000</v>
      </c>
      <c r="D272" s="2"/>
      <c r="E272" s="2"/>
      <c r="F272" s="2">
        <f t="shared" si="17"/>
        <v>0</v>
      </c>
      <c r="G272" s="2">
        <f t="shared" si="18"/>
        <v>36000</v>
      </c>
      <c r="H272"/>
      <c r="J272" s="68"/>
      <c r="K272" s="28"/>
      <c r="L272" s="28"/>
      <c r="M272" s="28"/>
      <c r="N272" s="28"/>
      <c r="O272" s="28"/>
      <c r="P272" s="29"/>
      <c r="Q272" s="54"/>
      <c r="R272" s="30"/>
    </row>
    <row r="273" spans="1:18" ht="15" hidden="1" customHeight="1" x14ac:dyDescent="0.3">
      <c r="A273" s="124">
        <v>45649</v>
      </c>
      <c r="B273" s="2">
        <v>309967</v>
      </c>
      <c r="C273" s="2">
        <v>309967</v>
      </c>
      <c r="D273" s="2">
        <v>159455</v>
      </c>
      <c r="E273" s="2">
        <v>23980</v>
      </c>
      <c r="F273" s="2">
        <f t="shared" si="17"/>
        <v>183435</v>
      </c>
      <c r="G273" s="2">
        <f t="shared" si="18"/>
        <v>126532</v>
      </c>
      <c r="H273"/>
      <c r="J273" s="68"/>
      <c r="K273" s="28"/>
      <c r="L273" s="28"/>
      <c r="M273" s="28"/>
      <c r="N273" s="28"/>
      <c r="O273" s="28"/>
      <c r="P273" s="29"/>
      <c r="Q273" s="54"/>
      <c r="R273" s="30"/>
    </row>
    <row r="274" spans="1:18" ht="15" hidden="1" customHeight="1" x14ac:dyDescent="0.3">
      <c r="A274" s="124">
        <v>45650</v>
      </c>
      <c r="B274" s="2"/>
      <c r="C274" s="2">
        <v>0</v>
      </c>
      <c r="D274" s="2"/>
      <c r="E274" s="2"/>
      <c r="F274" s="2">
        <f t="shared" si="17"/>
        <v>0</v>
      </c>
      <c r="G274" s="2">
        <f t="shared" si="18"/>
        <v>0</v>
      </c>
      <c r="H274"/>
      <c r="J274" s="68"/>
      <c r="K274" s="28"/>
      <c r="L274" s="28"/>
      <c r="M274" s="28"/>
      <c r="N274" s="28"/>
      <c r="O274" s="28"/>
      <c r="P274" s="29"/>
      <c r="Q274" s="54"/>
      <c r="R274" s="30"/>
    </row>
    <row r="275" spans="1:18" ht="15" hidden="1" customHeight="1" x14ac:dyDescent="0.3">
      <c r="A275" s="124">
        <v>45651</v>
      </c>
      <c r="B275" s="2"/>
      <c r="C275" s="2">
        <v>0</v>
      </c>
      <c r="D275" s="2">
        <v>120000</v>
      </c>
      <c r="E275" s="2"/>
      <c r="F275" s="2">
        <f t="shared" si="17"/>
        <v>120000</v>
      </c>
      <c r="G275" s="2">
        <f t="shared" si="18"/>
        <v>-120000</v>
      </c>
      <c r="H275"/>
      <c r="J275" s="68"/>
      <c r="K275" s="28"/>
      <c r="L275" s="28"/>
      <c r="M275" s="28"/>
      <c r="N275" s="28"/>
      <c r="O275" s="28"/>
      <c r="P275" s="29"/>
      <c r="Q275" s="54"/>
      <c r="R275" s="30"/>
    </row>
    <row r="276" spans="1:18" ht="15" hidden="1" customHeight="1" x14ac:dyDescent="0.3">
      <c r="A276" s="124">
        <v>45652</v>
      </c>
      <c r="B276" s="2"/>
      <c r="C276" s="2">
        <v>0</v>
      </c>
      <c r="D276" s="2"/>
      <c r="E276" s="2"/>
      <c r="F276" s="2">
        <f t="shared" si="17"/>
        <v>0</v>
      </c>
      <c r="G276" s="2">
        <f t="shared" si="18"/>
        <v>0</v>
      </c>
      <c r="H276"/>
      <c r="J276" s="68"/>
      <c r="K276" s="28"/>
      <c r="L276" s="28"/>
      <c r="M276" s="28"/>
      <c r="N276" s="28"/>
      <c r="O276" s="28"/>
      <c r="P276" s="29"/>
      <c r="Q276" s="54"/>
      <c r="R276" s="30"/>
    </row>
    <row r="277" spans="1:18" ht="15" hidden="1" customHeight="1" x14ac:dyDescent="0.3">
      <c r="A277" s="124">
        <v>45653</v>
      </c>
      <c r="B277" s="2"/>
      <c r="C277" s="2">
        <v>0</v>
      </c>
      <c r="D277" s="2">
        <v>40000</v>
      </c>
      <c r="E277" s="2"/>
      <c r="F277" s="2">
        <f t="shared" si="17"/>
        <v>40000</v>
      </c>
      <c r="G277" s="2">
        <f t="shared" si="18"/>
        <v>-40000</v>
      </c>
      <c r="H277"/>
      <c r="J277" s="68"/>
      <c r="K277" s="28"/>
      <c r="L277" s="28"/>
      <c r="M277" s="28"/>
      <c r="N277" s="28"/>
      <c r="O277" s="28"/>
      <c r="P277" s="29"/>
      <c r="Q277" s="54"/>
      <c r="R277" s="30"/>
    </row>
    <row r="278" spans="1:18" ht="15" hidden="1" customHeight="1" x14ac:dyDescent="0.3">
      <c r="A278" s="124">
        <v>45654</v>
      </c>
      <c r="B278" s="2">
        <v>86404</v>
      </c>
      <c r="C278" s="2">
        <v>86404</v>
      </c>
      <c r="D278" s="2">
        <v>23100</v>
      </c>
      <c r="E278" s="2">
        <v>46250</v>
      </c>
      <c r="F278" s="2">
        <f t="shared" si="17"/>
        <v>69350</v>
      </c>
      <c r="G278" s="2">
        <f t="shared" si="18"/>
        <v>17054</v>
      </c>
      <c r="H278"/>
      <c r="J278" s="68"/>
      <c r="K278" s="28"/>
      <c r="L278" s="28"/>
      <c r="M278" s="28"/>
      <c r="N278" s="28"/>
      <c r="O278" s="28"/>
      <c r="P278" s="29"/>
      <c r="Q278" s="54"/>
      <c r="R278" s="30"/>
    </row>
    <row r="279" spans="1:18" ht="15" hidden="1" customHeight="1" x14ac:dyDescent="0.3">
      <c r="A279" s="124">
        <v>45655</v>
      </c>
      <c r="B279" s="2"/>
      <c r="C279" s="2">
        <v>0</v>
      </c>
      <c r="D279" s="2">
        <v>34000</v>
      </c>
      <c r="E279" s="2">
        <v>83792</v>
      </c>
      <c r="F279" s="2">
        <f t="shared" si="17"/>
        <v>117792</v>
      </c>
      <c r="G279" s="2">
        <f t="shared" si="18"/>
        <v>-117792</v>
      </c>
      <c r="H279"/>
      <c r="J279" s="68"/>
      <c r="K279" s="28"/>
      <c r="L279" s="28"/>
      <c r="M279" s="28"/>
      <c r="N279" s="28"/>
      <c r="O279" s="28"/>
      <c r="P279" s="29"/>
      <c r="Q279" s="54"/>
      <c r="R279" s="30"/>
    </row>
    <row r="280" spans="1:18" ht="15" hidden="1" customHeight="1" x14ac:dyDescent="0.3">
      <c r="A280" s="124">
        <v>45656</v>
      </c>
      <c r="B280" s="2">
        <v>556500</v>
      </c>
      <c r="C280" s="2">
        <v>556500</v>
      </c>
      <c r="D280" s="2">
        <v>25507</v>
      </c>
      <c r="E280" s="2">
        <v>10764</v>
      </c>
      <c r="F280" s="2">
        <f t="shared" si="17"/>
        <v>36271</v>
      </c>
      <c r="G280" s="2">
        <f t="shared" si="18"/>
        <v>520229</v>
      </c>
      <c r="H280"/>
      <c r="J280" s="68"/>
      <c r="K280" s="28"/>
      <c r="L280" s="28"/>
      <c r="M280" s="28"/>
      <c r="N280" s="28"/>
      <c r="O280" s="28"/>
      <c r="P280" s="29"/>
      <c r="Q280" s="54"/>
      <c r="R280" s="30"/>
    </row>
    <row r="281" spans="1:18" ht="15" hidden="1" customHeight="1" x14ac:dyDescent="0.3">
      <c r="A281" s="124">
        <v>45657</v>
      </c>
      <c r="B281" s="2"/>
      <c r="C281" s="2">
        <v>0</v>
      </c>
      <c r="D281" s="2"/>
      <c r="E281" s="2">
        <v>110000</v>
      </c>
      <c r="F281" s="2">
        <f t="shared" si="17"/>
        <v>110000</v>
      </c>
      <c r="G281" s="2">
        <f t="shared" si="18"/>
        <v>-110000</v>
      </c>
      <c r="H281"/>
      <c r="J281" s="68"/>
      <c r="K281" s="28"/>
      <c r="L281" s="28"/>
      <c r="M281" s="28"/>
      <c r="N281" s="28"/>
      <c r="O281" s="28"/>
      <c r="P281" s="29"/>
      <c r="Q281" s="54"/>
      <c r="R281" s="30"/>
    </row>
    <row r="282" spans="1:18" ht="15" hidden="1" customHeight="1" x14ac:dyDescent="0.3">
      <c r="A282" s="175" t="s">
        <v>53</v>
      </c>
      <c r="B282" s="2">
        <f t="shared" ref="B282:G282" si="19">SUM(B251:B281)</f>
        <v>10449038</v>
      </c>
      <c r="C282" s="2">
        <f t="shared" si="19"/>
        <v>10449038</v>
      </c>
      <c r="D282" s="2">
        <f t="shared" si="19"/>
        <v>3094273</v>
      </c>
      <c r="E282" s="2">
        <f t="shared" si="19"/>
        <v>1626271</v>
      </c>
      <c r="F282" s="2">
        <f t="shared" si="19"/>
        <v>4720544</v>
      </c>
      <c r="G282" s="2">
        <f t="shared" si="19"/>
        <v>5728494</v>
      </c>
      <c r="H282"/>
      <c r="J282" s="68"/>
      <c r="K282" s="28"/>
      <c r="L282" s="28"/>
      <c r="M282" s="28"/>
      <c r="N282" s="28"/>
      <c r="O282" s="28"/>
      <c r="P282" s="29"/>
      <c r="Q282" s="54"/>
      <c r="R282" s="30"/>
    </row>
    <row r="283" spans="1:18" ht="15" hidden="1" customHeight="1" x14ac:dyDescent="0.3">
      <c r="A283" s="124"/>
      <c r="B283" s="2"/>
      <c r="C283" s="2"/>
      <c r="D283" s="2"/>
      <c r="E283" s="2"/>
      <c r="F283" s="2"/>
      <c r="G283" s="2"/>
      <c r="H283"/>
      <c r="J283" s="68"/>
      <c r="K283" s="28"/>
      <c r="L283" s="28"/>
      <c r="M283" s="28"/>
      <c r="N283" s="28"/>
      <c r="O283" s="28"/>
      <c r="P283" s="29"/>
      <c r="Q283" s="54"/>
      <c r="R283" s="30"/>
    </row>
    <row r="284" spans="1:18" ht="15" hidden="1" customHeight="1" x14ac:dyDescent="0.3">
      <c r="A284" s="124"/>
      <c r="B284" s="2"/>
      <c r="C284" s="2"/>
      <c r="D284" s="2"/>
      <c r="E284" s="2"/>
      <c r="F284" s="2"/>
      <c r="G284" s="2"/>
      <c r="H284"/>
      <c r="J284" s="68"/>
      <c r="K284" s="28"/>
      <c r="L284" s="28"/>
      <c r="M284" s="28"/>
      <c r="N284" s="28"/>
      <c r="O284" s="28"/>
      <c r="P284" s="29"/>
      <c r="Q284" s="54"/>
      <c r="R284" s="30"/>
    </row>
    <row r="285" spans="1:18" ht="15" hidden="1" customHeight="1" x14ac:dyDescent="0.3">
      <c r="A285" s="124"/>
      <c r="B285" s="2"/>
      <c r="C285" s="2"/>
      <c r="D285" s="2"/>
      <c r="E285" s="2"/>
      <c r="F285" s="2"/>
      <c r="G285" s="2"/>
      <c r="H285"/>
      <c r="J285" s="68"/>
      <c r="K285" s="28"/>
      <c r="L285" s="28"/>
      <c r="M285" s="28"/>
      <c r="N285" s="28"/>
      <c r="O285" s="28"/>
      <c r="P285" s="29"/>
      <c r="Q285" s="54"/>
      <c r="R285" s="30"/>
    </row>
    <row r="286" spans="1:18" ht="15" hidden="1" customHeight="1" x14ac:dyDescent="0.3">
      <c r="A286" s="124">
        <v>45597</v>
      </c>
      <c r="B286" s="2"/>
      <c r="C286" s="2">
        <v>0</v>
      </c>
      <c r="D286" s="2"/>
      <c r="E286" s="2"/>
      <c r="F286" s="2">
        <v>0</v>
      </c>
      <c r="G286" s="2">
        <f>C286-F286</f>
        <v>0</v>
      </c>
      <c r="H286"/>
      <c r="J286" s="68"/>
      <c r="K286" s="28"/>
      <c r="L286" s="28"/>
      <c r="M286" s="28"/>
      <c r="N286" s="28"/>
      <c r="O286" s="28"/>
      <c r="P286" s="29"/>
      <c r="Q286" s="54"/>
      <c r="R286" s="30"/>
    </row>
    <row r="287" spans="1:18" ht="15" hidden="1" customHeight="1" x14ac:dyDescent="0.3">
      <c r="A287" s="124">
        <v>45598</v>
      </c>
      <c r="B287" s="2"/>
      <c r="C287" s="2">
        <v>0</v>
      </c>
      <c r="D287" s="2">
        <v>5000</v>
      </c>
      <c r="E287" s="2">
        <v>12552</v>
      </c>
      <c r="F287" s="2">
        <v>17552</v>
      </c>
      <c r="G287" s="2">
        <f>C287-F287</f>
        <v>-17552</v>
      </c>
      <c r="H287"/>
      <c r="J287" s="68"/>
      <c r="K287" s="28"/>
      <c r="L287" s="28"/>
      <c r="M287" s="28"/>
      <c r="N287" s="28"/>
      <c r="O287" s="28"/>
      <c r="P287" s="29"/>
      <c r="Q287" s="54"/>
      <c r="R287" s="30"/>
    </row>
    <row r="288" spans="1:18" ht="15" hidden="1" customHeight="1" x14ac:dyDescent="0.3">
      <c r="A288" s="124">
        <v>45599</v>
      </c>
      <c r="B288" s="2"/>
      <c r="C288" s="2">
        <v>0</v>
      </c>
      <c r="D288" s="2">
        <v>24250</v>
      </c>
      <c r="E288" s="2">
        <v>65698</v>
      </c>
      <c r="F288" s="2">
        <v>89948</v>
      </c>
      <c r="G288" s="2">
        <f t="shared" ref="G288:G317" si="20">C288-F288</f>
        <v>-89948</v>
      </c>
      <c r="H288"/>
      <c r="J288" s="68"/>
      <c r="K288" s="28"/>
      <c r="L288" s="28"/>
      <c r="M288" s="28"/>
      <c r="N288" s="28"/>
      <c r="O288" s="28"/>
      <c r="P288" s="29"/>
      <c r="Q288" s="54"/>
      <c r="R288" s="30"/>
    </row>
    <row r="289" spans="1:18" ht="15" hidden="1" customHeight="1" x14ac:dyDescent="0.3">
      <c r="A289" s="124">
        <v>45600</v>
      </c>
      <c r="B289" s="2">
        <v>79968</v>
      </c>
      <c r="C289" s="2">
        <v>79968</v>
      </c>
      <c r="D289" s="2">
        <v>19312</v>
      </c>
      <c r="E289" s="2"/>
      <c r="F289" s="2">
        <v>19312</v>
      </c>
      <c r="G289" s="2">
        <f t="shared" si="20"/>
        <v>60656</v>
      </c>
      <c r="H289" s="176" t="s">
        <v>191</v>
      </c>
      <c r="J289" s="68"/>
      <c r="K289" s="28"/>
      <c r="L289" s="28"/>
      <c r="M289" s="28"/>
      <c r="N289" s="28"/>
      <c r="O289" s="28"/>
      <c r="P289" s="29"/>
      <c r="Q289" s="54"/>
      <c r="R289" s="30"/>
    </row>
    <row r="290" spans="1:18" ht="15" hidden="1" customHeight="1" x14ac:dyDescent="0.3">
      <c r="A290" s="124">
        <v>45601</v>
      </c>
      <c r="B290" s="2"/>
      <c r="C290" s="2">
        <v>0</v>
      </c>
      <c r="D290" s="2">
        <v>720000</v>
      </c>
      <c r="E290" s="2">
        <v>84130</v>
      </c>
      <c r="F290" s="2">
        <v>804130</v>
      </c>
      <c r="G290" s="2">
        <f t="shared" si="20"/>
        <v>-804130</v>
      </c>
      <c r="H290" s="176" t="s">
        <v>241</v>
      </c>
      <c r="J290" s="68"/>
      <c r="K290" s="28"/>
      <c r="L290" s="28"/>
      <c r="M290" s="28"/>
      <c r="N290" s="28"/>
      <c r="O290" s="28"/>
      <c r="P290" s="29"/>
      <c r="Q290" s="54"/>
      <c r="R290" s="30"/>
    </row>
    <row r="291" spans="1:18" ht="15" hidden="1" customHeight="1" x14ac:dyDescent="0.3">
      <c r="A291" s="124">
        <v>45602</v>
      </c>
      <c r="B291" s="2">
        <v>193172</v>
      </c>
      <c r="C291" s="2">
        <v>193172</v>
      </c>
      <c r="D291" s="2">
        <v>46693</v>
      </c>
      <c r="E291" s="2">
        <v>51440</v>
      </c>
      <c r="F291" s="2">
        <v>98133</v>
      </c>
      <c r="G291" s="2">
        <f t="shared" si="20"/>
        <v>95039</v>
      </c>
      <c r="H291"/>
      <c r="J291" s="68"/>
      <c r="K291" s="28"/>
      <c r="L291" s="28"/>
      <c r="M291" s="28"/>
      <c r="N291" s="28"/>
      <c r="O291" s="28"/>
      <c r="P291" s="29"/>
      <c r="Q291" s="54"/>
      <c r="R291" s="30"/>
    </row>
    <row r="292" spans="1:18" ht="15" hidden="1" customHeight="1" x14ac:dyDescent="0.3">
      <c r="A292" s="124">
        <v>45603</v>
      </c>
      <c r="B292" s="2">
        <v>186360</v>
      </c>
      <c r="C292" s="2">
        <v>186360</v>
      </c>
      <c r="D292" s="2">
        <v>9250</v>
      </c>
      <c r="E292" s="2">
        <v>87230</v>
      </c>
      <c r="F292" s="2">
        <v>96480</v>
      </c>
      <c r="G292" s="2">
        <f t="shared" si="20"/>
        <v>89880</v>
      </c>
      <c r="H292"/>
      <c r="J292" s="68"/>
      <c r="K292" s="28"/>
      <c r="L292" s="28"/>
      <c r="M292" s="28"/>
      <c r="N292" s="28"/>
      <c r="O292" s="28"/>
      <c r="P292" s="29"/>
      <c r="Q292" s="54"/>
      <c r="R292" s="30"/>
    </row>
    <row r="293" spans="1:18" ht="15" hidden="1" customHeight="1" x14ac:dyDescent="0.3">
      <c r="A293" s="124">
        <v>45604</v>
      </c>
      <c r="B293" s="2"/>
      <c r="C293" s="2">
        <v>0</v>
      </c>
      <c r="D293" s="2">
        <v>150060</v>
      </c>
      <c r="E293" s="2">
        <v>3070</v>
      </c>
      <c r="F293" s="2">
        <v>153130</v>
      </c>
      <c r="G293" s="2">
        <f t="shared" si="20"/>
        <v>-153130</v>
      </c>
      <c r="H293"/>
      <c r="J293" s="68"/>
      <c r="K293" s="28"/>
      <c r="L293" s="28"/>
      <c r="M293" s="28"/>
      <c r="N293" s="28"/>
      <c r="O293" s="28"/>
      <c r="P293" s="29"/>
      <c r="Q293" s="54"/>
      <c r="R293" s="30"/>
    </row>
    <row r="294" spans="1:18" ht="15" hidden="1" customHeight="1" x14ac:dyDescent="0.3">
      <c r="A294" s="124">
        <v>45605</v>
      </c>
      <c r="B294" s="2">
        <v>229500</v>
      </c>
      <c r="C294" s="2">
        <v>229500</v>
      </c>
      <c r="D294" s="2">
        <v>21864</v>
      </c>
      <c r="E294" s="2">
        <v>3500</v>
      </c>
      <c r="F294" s="2">
        <v>25364</v>
      </c>
      <c r="G294" s="2">
        <f t="shared" si="20"/>
        <v>204136</v>
      </c>
      <c r="H294"/>
      <c r="J294" s="68"/>
      <c r="K294" s="28"/>
      <c r="L294" s="28"/>
      <c r="M294" s="28"/>
      <c r="N294" s="28"/>
      <c r="O294" s="28"/>
      <c r="P294" s="29"/>
      <c r="Q294" s="54"/>
      <c r="R294" s="30"/>
    </row>
    <row r="295" spans="1:18" ht="15" hidden="1" customHeight="1" x14ac:dyDescent="0.3">
      <c r="A295" s="124">
        <v>45606</v>
      </c>
      <c r="B295" s="2">
        <v>204500</v>
      </c>
      <c r="C295" s="2">
        <v>204500</v>
      </c>
      <c r="D295" s="2"/>
      <c r="E295" s="2">
        <v>10000</v>
      </c>
      <c r="F295" s="2">
        <v>10000</v>
      </c>
      <c r="G295" s="2">
        <f t="shared" si="20"/>
        <v>194500</v>
      </c>
      <c r="H295"/>
      <c r="J295" s="68"/>
      <c r="K295" s="28"/>
      <c r="L295" s="28"/>
      <c r="M295" s="28"/>
      <c r="N295" s="28"/>
      <c r="O295" s="28"/>
      <c r="P295" s="29"/>
      <c r="Q295" s="54"/>
      <c r="R295" s="30"/>
    </row>
    <row r="296" spans="1:18" ht="15" hidden="1" customHeight="1" x14ac:dyDescent="0.3">
      <c r="A296" s="124">
        <v>45607</v>
      </c>
      <c r="B296" s="2">
        <v>79968</v>
      </c>
      <c r="C296" s="2">
        <v>79968</v>
      </c>
      <c r="D296" s="2"/>
      <c r="E296" s="2"/>
      <c r="F296" s="2">
        <v>0</v>
      </c>
      <c r="G296" s="2">
        <f t="shared" si="20"/>
        <v>79968</v>
      </c>
      <c r="H296"/>
      <c r="J296" s="68"/>
      <c r="K296" s="28"/>
      <c r="L296" s="28"/>
      <c r="M296" s="28"/>
      <c r="N296" s="28"/>
      <c r="O296" s="28"/>
      <c r="P296" s="29"/>
      <c r="Q296" s="54"/>
      <c r="R296" s="30"/>
    </row>
    <row r="297" spans="1:18" ht="15" hidden="1" customHeight="1" x14ac:dyDescent="0.3">
      <c r="A297" s="124">
        <v>45608</v>
      </c>
      <c r="B297" s="2"/>
      <c r="C297" s="2">
        <v>0</v>
      </c>
      <c r="D297" s="2">
        <v>358000</v>
      </c>
      <c r="E297" s="2">
        <v>67155</v>
      </c>
      <c r="F297" s="2">
        <v>425155</v>
      </c>
      <c r="G297" s="2">
        <f t="shared" si="20"/>
        <v>-425155</v>
      </c>
      <c r="H297"/>
      <c r="J297" s="68"/>
      <c r="K297" s="28"/>
      <c r="L297" s="28"/>
      <c r="M297" s="28"/>
      <c r="N297" s="28"/>
      <c r="O297" s="28"/>
      <c r="P297" s="29"/>
      <c r="Q297" s="54"/>
      <c r="R297" s="30"/>
    </row>
    <row r="298" spans="1:18" ht="15" hidden="1" customHeight="1" x14ac:dyDescent="0.3">
      <c r="A298" s="124">
        <v>45609</v>
      </c>
      <c r="B298" s="2">
        <v>79968</v>
      </c>
      <c r="C298" s="2">
        <v>79968</v>
      </c>
      <c r="D298" s="2"/>
      <c r="E298" s="2">
        <v>121620</v>
      </c>
      <c r="F298" s="2">
        <v>121620</v>
      </c>
      <c r="G298" s="2">
        <f t="shared" si="20"/>
        <v>-41652</v>
      </c>
      <c r="H298"/>
      <c r="J298" s="68"/>
      <c r="K298" s="28"/>
      <c r="L298" s="28"/>
      <c r="M298" s="28"/>
      <c r="N298" s="28"/>
      <c r="O298" s="28"/>
      <c r="P298" s="29"/>
      <c r="Q298" s="54"/>
      <c r="R298" s="30"/>
    </row>
    <row r="299" spans="1:18" ht="15" hidden="1" customHeight="1" x14ac:dyDescent="0.3">
      <c r="A299" s="124">
        <v>45610</v>
      </c>
      <c r="B299" s="2">
        <v>462404</v>
      </c>
      <c r="C299" s="2">
        <v>462404</v>
      </c>
      <c r="D299" s="2"/>
      <c r="E299" s="2">
        <v>91196</v>
      </c>
      <c r="F299" s="2"/>
      <c r="G299" s="2">
        <f t="shared" si="20"/>
        <v>462404</v>
      </c>
      <c r="H299"/>
      <c r="J299" s="68"/>
      <c r="K299" s="28"/>
      <c r="L299" s="28"/>
      <c r="M299" s="28"/>
      <c r="N299" s="28"/>
      <c r="O299" s="28"/>
      <c r="P299" s="29"/>
      <c r="Q299" s="54"/>
      <c r="R299" s="30"/>
    </row>
    <row r="300" spans="1:18" ht="15" hidden="1" customHeight="1" x14ac:dyDescent="0.3">
      <c r="A300" s="124">
        <v>45611</v>
      </c>
      <c r="B300" s="2"/>
      <c r="C300" s="2">
        <v>0</v>
      </c>
      <c r="D300" s="2"/>
      <c r="E300" s="2">
        <v>20248</v>
      </c>
      <c r="F300" s="2">
        <v>20248</v>
      </c>
      <c r="G300" s="2">
        <f t="shared" si="20"/>
        <v>-20248</v>
      </c>
      <c r="H300"/>
      <c r="J300" s="68"/>
      <c r="K300" s="28"/>
      <c r="L300" s="28"/>
      <c r="M300" s="28"/>
      <c r="N300" s="28"/>
      <c r="O300" s="28"/>
      <c r="P300" s="29"/>
      <c r="Q300" s="54"/>
      <c r="R300" s="30"/>
    </row>
    <row r="301" spans="1:18" ht="15" hidden="1" customHeight="1" x14ac:dyDescent="0.3">
      <c r="A301" s="124">
        <v>45612</v>
      </c>
      <c r="B301" s="2"/>
      <c r="C301" s="2">
        <v>0</v>
      </c>
      <c r="D301" s="2">
        <v>61100</v>
      </c>
      <c r="E301" s="2">
        <v>144250</v>
      </c>
      <c r="F301" s="2">
        <v>205350</v>
      </c>
      <c r="G301" s="2">
        <f t="shared" si="20"/>
        <v>-205350</v>
      </c>
      <c r="H301"/>
      <c r="J301" s="68"/>
      <c r="K301" s="28"/>
      <c r="L301" s="28"/>
      <c r="M301" s="28"/>
      <c r="N301" s="28"/>
      <c r="O301" s="28"/>
      <c r="P301" s="29"/>
      <c r="Q301" s="54"/>
      <c r="R301" s="30"/>
    </row>
    <row r="302" spans="1:18" ht="15" hidden="1" customHeight="1" x14ac:dyDescent="0.3">
      <c r="A302" s="124">
        <v>45613</v>
      </c>
      <c r="B302" s="2"/>
      <c r="C302" s="2">
        <v>0</v>
      </c>
      <c r="D302" s="2">
        <v>52164</v>
      </c>
      <c r="E302" s="2">
        <v>14840</v>
      </c>
      <c r="F302" s="2">
        <v>67004</v>
      </c>
      <c r="G302" s="2">
        <f t="shared" si="20"/>
        <v>-67004</v>
      </c>
      <c r="H302"/>
      <c r="J302" s="68"/>
      <c r="K302" s="28"/>
      <c r="L302" s="28"/>
      <c r="M302" s="28"/>
      <c r="N302" s="28"/>
      <c r="O302" s="28"/>
      <c r="P302" s="29"/>
      <c r="Q302" s="54"/>
      <c r="R302" s="30"/>
    </row>
    <row r="303" spans="1:18" ht="15" hidden="1" customHeight="1" x14ac:dyDescent="0.3">
      <c r="A303" s="124">
        <v>45614</v>
      </c>
      <c r="B303" s="2">
        <v>79968</v>
      </c>
      <c r="C303" s="2">
        <v>79968</v>
      </c>
      <c r="D303" s="2"/>
      <c r="E303" s="2"/>
      <c r="F303" s="2">
        <v>0</v>
      </c>
      <c r="G303" s="2">
        <f t="shared" si="20"/>
        <v>79968</v>
      </c>
      <c r="H303"/>
      <c r="J303" s="68"/>
      <c r="K303" s="28"/>
      <c r="L303" s="28"/>
      <c r="M303" s="28"/>
      <c r="N303" s="28"/>
      <c r="O303" s="28"/>
      <c r="P303" s="29"/>
      <c r="Q303" s="54"/>
      <c r="R303" s="30"/>
    </row>
    <row r="304" spans="1:18" ht="15" hidden="1" customHeight="1" x14ac:dyDescent="0.3">
      <c r="A304" s="124">
        <v>45615</v>
      </c>
      <c r="B304" s="2"/>
      <c r="C304" s="2">
        <v>0</v>
      </c>
      <c r="D304" s="2"/>
      <c r="E304" s="2">
        <v>39646</v>
      </c>
      <c r="F304" s="2">
        <v>39646</v>
      </c>
      <c r="G304" s="2">
        <f t="shared" si="20"/>
        <v>-39646</v>
      </c>
      <c r="H304"/>
      <c r="J304" s="68"/>
      <c r="K304" s="28"/>
      <c r="L304" s="28"/>
      <c r="M304" s="28"/>
      <c r="N304" s="28"/>
      <c r="O304" s="28"/>
      <c r="P304" s="29"/>
      <c r="Q304" s="54"/>
      <c r="R304" s="30"/>
    </row>
    <row r="305" spans="1:18" ht="15" hidden="1" customHeight="1" x14ac:dyDescent="0.3">
      <c r="A305" s="124">
        <v>45616</v>
      </c>
      <c r="B305" s="2">
        <v>579968</v>
      </c>
      <c r="C305" s="2">
        <v>579968</v>
      </c>
      <c r="D305" s="2"/>
      <c r="E305" s="2">
        <v>35112</v>
      </c>
      <c r="F305" s="2">
        <v>35112</v>
      </c>
      <c r="G305" s="2">
        <f t="shared" si="20"/>
        <v>544856</v>
      </c>
      <c r="H305"/>
      <c r="J305" s="68"/>
      <c r="K305" s="28"/>
      <c r="L305" s="28"/>
      <c r="M305" s="28"/>
      <c r="N305" s="28"/>
      <c r="O305" s="28"/>
      <c r="P305" s="29"/>
      <c r="Q305" s="54"/>
      <c r="R305" s="30"/>
    </row>
    <row r="306" spans="1:18" ht="15" hidden="1" customHeight="1" x14ac:dyDescent="0.3">
      <c r="A306" s="124">
        <v>45617</v>
      </c>
      <c r="B306" s="2">
        <v>984130</v>
      </c>
      <c r="C306" s="2">
        <v>984130</v>
      </c>
      <c r="D306" s="2"/>
      <c r="E306" s="2">
        <v>249981</v>
      </c>
      <c r="F306" s="2">
        <v>249981</v>
      </c>
      <c r="G306" s="2">
        <f t="shared" si="20"/>
        <v>734149</v>
      </c>
      <c r="H306"/>
      <c r="J306" s="68"/>
      <c r="K306" s="28"/>
      <c r="L306" s="28"/>
      <c r="M306" s="28"/>
      <c r="N306" s="28"/>
      <c r="O306" s="28"/>
      <c r="P306" s="29"/>
      <c r="Q306" s="54"/>
      <c r="R306" s="30"/>
    </row>
    <row r="307" spans="1:18" ht="15" hidden="1" customHeight="1" x14ac:dyDescent="0.3">
      <c r="A307" s="124">
        <v>45618</v>
      </c>
      <c r="B307" s="2"/>
      <c r="C307" s="2">
        <v>0</v>
      </c>
      <c r="D307" s="2">
        <v>9980</v>
      </c>
      <c r="E307" s="2"/>
      <c r="F307" s="2">
        <v>9980</v>
      </c>
      <c r="G307" s="2">
        <f t="shared" si="20"/>
        <v>-9980</v>
      </c>
      <c r="H307"/>
      <c r="J307" s="68"/>
      <c r="K307" s="28"/>
      <c r="L307" s="28"/>
      <c r="M307" s="28"/>
      <c r="N307" s="28"/>
      <c r="O307" s="28"/>
      <c r="P307" s="29"/>
      <c r="Q307" s="54"/>
      <c r="R307" s="30"/>
    </row>
    <row r="308" spans="1:18" ht="15" hidden="1" customHeight="1" x14ac:dyDescent="0.3">
      <c r="A308" s="124">
        <v>45619</v>
      </c>
      <c r="B308" s="2">
        <v>113500</v>
      </c>
      <c r="C308" s="2">
        <v>113500</v>
      </c>
      <c r="D308" s="2"/>
      <c r="E308" s="2">
        <v>28220</v>
      </c>
      <c r="F308" s="2">
        <v>28220</v>
      </c>
      <c r="G308" s="2">
        <f t="shared" si="20"/>
        <v>85280</v>
      </c>
      <c r="H308"/>
      <c r="J308" s="68"/>
      <c r="K308" s="28"/>
      <c r="L308" s="28"/>
      <c r="M308" s="28"/>
      <c r="N308" s="28"/>
      <c r="O308" s="28"/>
      <c r="P308" s="29"/>
      <c r="Q308" s="54"/>
      <c r="R308" s="30"/>
    </row>
    <row r="309" spans="1:18" ht="15" hidden="1" customHeight="1" x14ac:dyDescent="0.3">
      <c r="A309" s="124">
        <v>45620</v>
      </c>
      <c r="B309" s="2"/>
      <c r="C309" s="2">
        <v>0</v>
      </c>
      <c r="D309" s="2">
        <v>245000</v>
      </c>
      <c r="E309" s="2"/>
      <c r="F309" s="2">
        <v>245000</v>
      </c>
      <c r="G309" s="2">
        <f t="shared" si="20"/>
        <v>-245000</v>
      </c>
      <c r="H309"/>
      <c r="J309" s="68"/>
      <c r="K309" s="28"/>
      <c r="L309" s="28"/>
      <c r="M309" s="28"/>
      <c r="N309" s="28"/>
      <c r="O309" s="28"/>
      <c r="P309" s="29"/>
      <c r="Q309" s="54"/>
      <c r="R309" s="30"/>
    </row>
    <row r="310" spans="1:18" ht="15" hidden="1" customHeight="1" x14ac:dyDescent="0.3">
      <c r="A310" s="124">
        <v>45621</v>
      </c>
      <c r="B310" s="2">
        <v>79968</v>
      </c>
      <c r="C310" s="2">
        <v>79968</v>
      </c>
      <c r="D310" s="2">
        <v>112500</v>
      </c>
      <c r="E310" s="2">
        <v>9073</v>
      </c>
      <c r="F310" s="2">
        <v>121573</v>
      </c>
      <c r="G310" s="2">
        <f t="shared" si="20"/>
        <v>-41605</v>
      </c>
      <c r="H310"/>
      <c r="J310" s="68"/>
      <c r="K310" s="28"/>
      <c r="L310" s="28"/>
      <c r="M310" s="28"/>
      <c r="N310" s="28"/>
      <c r="O310" s="28"/>
      <c r="P310" s="29"/>
      <c r="Q310" s="54"/>
      <c r="R310" s="30"/>
    </row>
    <row r="311" spans="1:18" ht="15" hidden="1" customHeight="1" x14ac:dyDescent="0.3">
      <c r="A311" s="124">
        <v>45622</v>
      </c>
      <c r="B311" s="2"/>
      <c r="C311" s="2">
        <v>0</v>
      </c>
      <c r="D311" s="2">
        <v>136322</v>
      </c>
      <c r="E311" s="2">
        <v>4900</v>
      </c>
      <c r="F311" s="2">
        <v>141222</v>
      </c>
      <c r="G311" s="2">
        <f t="shared" si="20"/>
        <v>-141222</v>
      </c>
      <c r="H311"/>
      <c r="J311" s="68"/>
      <c r="K311" s="28"/>
      <c r="L311" s="28"/>
      <c r="M311" s="28"/>
      <c r="N311" s="28"/>
      <c r="O311" s="28"/>
      <c r="P311" s="29"/>
      <c r="Q311" s="54"/>
      <c r="R311" s="30"/>
    </row>
    <row r="312" spans="1:18" ht="15" hidden="1" customHeight="1" x14ac:dyDescent="0.3">
      <c r="A312" s="124">
        <v>45623</v>
      </c>
      <c r="B312" s="2">
        <v>113301</v>
      </c>
      <c r="C312" s="2">
        <v>113301</v>
      </c>
      <c r="D312" s="2">
        <v>54010</v>
      </c>
      <c r="E312" s="2">
        <v>180216</v>
      </c>
      <c r="F312" s="2">
        <v>234226</v>
      </c>
      <c r="G312" s="2">
        <f t="shared" si="20"/>
        <v>-120925</v>
      </c>
      <c r="H312"/>
      <c r="J312" s="68"/>
      <c r="K312" s="28"/>
      <c r="L312" s="28"/>
      <c r="M312" s="28"/>
      <c r="N312" s="28"/>
      <c r="O312" s="28"/>
      <c r="P312" s="29"/>
      <c r="Q312" s="54"/>
      <c r="R312" s="30"/>
    </row>
    <row r="313" spans="1:18" ht="15" hidden="1" customHeight="1" x14ac:dyDescent="0.3">
      <c r="A313" s="124">
        <v>45624</v>
      </c>
      <c r="B313" s="2">
        <v>86404</v>
      </c>
      <c r="C313" s="2">
        <v>86404</v>
      </c>
      <c r="D313" s="2"/>
      <c r="E313" s="2">
        <v>205218</v>
      </c>
      <c r="F313" s="2">
        <v>205218</v>
      </c>
      <c r="G313" s="2">
        <f t="shared" si="20"/>
        <v>-118814</v>
      </c>
      <c r="H313"/>
      <c r="J313" s="68"/>
      <c r="K313" s="28"/>
      <c r="L313" s="28"/>
      <c r="M313" s="28"/>
      <c r="N313" s="28"/>
      <c r="O313" s="28"/>
      <c r="P313" s="29"/>
      <c r="Q313" s="54"/>
      <c r="R313" s="30"/>
    </row>
    <row r="314" spans="1:18" ht="15" hidden="1" customHeight="1" x14ac:dyDescent="0.3">
      <c r="A314" s="124">
        <v>45625</v>
      </c>
      <c r="B314" s="2">
        <v>1950000</v>
      </c>
      <c r="C314" s="2">
        <v>1950000</v>
      </c>
      <c r="D314" s="2">
        <v>16000</v>
      </c>
      <c r="E314" s="2">
        <v>76516</v>
      </c>
      <c r="F314" s="2">
        <v>92516</v>
      </c>
      <c r="G314" s="2">
        <f t="shared" si="20"/>
        <v>1857484</v>
      </c>
      <c r="H314"/>
      <c r="J314" s="68"/>
      <c r="K314" s="28"/>
      <c r="L314" s="28"/>
      <c r="M314" s="28"/>
      <c r="N314" s="28"/>
      <c r="O314" s="28"/>
      <c r="P314" s="29"/>
      <c r="Q314" s="54"/>
      <c r="R314" s="30"/>
    </row>
    <row r="315" spans="1:18" ht="15" hidden="1" customHeight="1" x14ac:dyDescent="0.3">
      <c r="A315" s="124">
        <v>45626</v>
      </c>
      <c r="B315" s="2">
        <v>43000</v>
      </c>
      <c r="C315" s="2">
        <v>43000</v>
      </c>
      <c r="D315" s="2">
        <v>650000</v>
      </c>
      <c r="E315" s="2"/>
      <c r="F315" s="2">
        <v>650000</v>
      </c>
      <c r="G315" s="2">
        <f t="shared" si="20"/>
        <v>-607000</v>
      </c>
      <c r="H315"/>
      <c r="J315" s="68"/>
      <c r="K315" s="28"/>
      <c r="L315" s="28"/>
      <c r="M315" s="28"/>
      <c r="N315" s="28"/>
      <c r="O315" s="28"/>
      <c r="P315" s="29"/>
      <c r="Q315" s="54"/>
      <c r="R315" s="30"/>
    </row>
    <row r="316" spans="1:18" ht="15" hidden="1" customHeight="1" x14ac:dyDescent="0.3">
      <c r="A316" s="124"/>
      <c r="B316" s="2"/>
      <c r="C316" s="2">
        <v>0</v>
      </c>
      <c r="D316" s="2"/>
      <c r="E316" s="2"/>
      <c r="F316" s="2">
        <v>0</v>
      </c>
      <c r="G316" s="2">
        <f t="shared" si="20"/>
        <v>0</v>
      </c>
      <c r="H316"/>
      <c r="J316" s="68"/>
      <c r="K316" s="28"/>
      <c r="L316" s="28"/>
      <c r="M316" s="28"/>
      <c r="N316" s="28"/>
      <c r="O316" s="28"/>
      <c r="P316" s="29"/>
      <c r="Q316" s="54"/>
      <c r="R316" s="30"/>
    </row>
    <row r="317" spans="1:18" ht="15" hidden="1" customHeight="1" x14ac:dyDescent="0.3">
      <c r="A317" s="175" t="s">
        <v>52</v>
      </c>
      <c r="B317" s="2">
        <f>SUM(B286:B316)</f>
        <v>5546079</v>
      </c>
      <c r="C317" s="2">
        <f>SUM(C286:C316)</f>
        <v>5546079</v>
      </c>
      <c r="D317" s="2">
        <f t="shared" ref="D317:F317" si="21">SUM(D286:D316)</f>
        <v>2691505</v>
      </c>
      <c r="E317" s="2">
        <f t="shared" si="21"/>
        <v>1605811</v>
      </c>
      <c r="F317" s="2">
        <f t="shared" si="21"/>
        <v>4206120</v>
      </c>
      <c r="G317" s="2">
        <f t="shared" si="20"/>
        <v>1339959</v>
      </c>
      <c r="H317"/>
      <c r="J317" s="68"/>
      <c r="K317" s="28"/>
      <c r="L317" s="28"/>
      <c r="M317" s="28"/>
      <c r="N317" s="28"/>
      <c r="O317" s="28"/>
      <c r="P317" s="29"/>
      <c r="Q317" s="54"/>
      <c r="R317" s="30"/>
    </row>
    <row r="318" spans="1:18" ht="15" hidden="1" customHeight="1" x14ac:dyDescent="0.3">
      <c r="A318" s="124"/>
      <c r="B318" s="2"/>
      <c r="C318" s="2"/>
      <c r="D318" s="2"/>
      <c r="E318" s="2"/>
      <c r="F318" s="2"/>
      <c r="G318" s="2"/>
      <c r="H318"/>
      <c r="J318" s="68"/>
      <c r="K318" s="28"/>
      <c r="L318" s="28"/>
      <c r="M318" s="28"/>
      <c r="N318" s="28"/>
      <c r="O318" s="28"/>
      <c r="P318" s="29"/>
      <c r="Q318" s="54"/>
      <c r="R318" s="30"/>
    </row>
    <row r="319" spans="1:18" ht="15" hidden="1" customHeight="1" x14ac:dyDescent="0.3">
      <c r="A319" s="124"/>
      <c r="B319" s="2"/>
      <c r="C319" s="2"/>
      <c r="D319" s="2"/>
      <c r="E319" s="2"/>
      <c r="F319" s="2"/>
      <c r="G319" s="2"/>
      <c r="H319"/>
      <c r="J319" s="68"/>
      <c r="K319" s="28"/>
      <c r="L319" s="28"/>
      <c r="M319" s="28"/>
      <c r="N319" s="28"/>
      <c r="O319" s="28"/>
      <c r="P319" s="29"/>
      <c r="Q319" s="54"/>
      <c r="R319" s="30"/>
    </row>
    <row r="320" spans="1:18" ht="15" hidden="1" customHeight="1" x14ac:dyDescent="0.3">
      <c r="A320" s="124"/>
      <c r="B320" s="2"/>
      <c r="C320" s="2"/>
      <c r="D320" s="2"/>
      <c r="E320" s="2"/>
      <c r="F320" s="2"/>
      <c r="G320" s="2"/>
      <c r="H320"/>
      <c r="J320" s="68"/>
      <c r="K320" s="28"/>
      <c r="L320" s="28"/>
      <c r="M320" s="28"/>
      <c r="N320" s="28"/>
      <c r="O320" s="28"/>
      <c r="P320" s="29"/>
      <c r="Q320" s="54"/>
      <c r="R320" s="30"/>
    </row>
    <row r="321" spans="1:18" ht="15" hidden="1" customHeight="1" x14ac:dyDescent="0.3">
      <c r="A321" s="124">
        <v>45566</v>
      </c>
      <c r="B321" s="2">
        <v>64800</v>
      </c>
      <c r="C321" s="2">
        <f t="shared" ref="C321:C350" si="22">B321</f>
        <v>64800</v>
      </c>
      <c r="D321" s="2">
        <v>5840</v>
      </c>
      <c r="E321" s="2">
        <v>72500</v>
      </c>
      <c r="F321" s="2">
        <f>D321+E321</f>
        <v>78340</v>
      </c>
      <c r="G321" s="2">
        <f>C321-F321</f>
        <v>-13540</v>
      </c>
      <c r="H321"/>
      <c r="J321" s="68"/>
      <c r="K321" s="28"/>
      <c r="L321" s="28"/>
      <c r="M321" s="28"/>
      <c r="N321" s="28"/>
      <c r="O321" s="28"/>
      <c r="P321" s="29"/>
      <c r="Q321" s="54"/>
      <c r="R321" s="30"/>
    </row>
    <row r="322" spans="1:18" ht="15" hidden="1" customHeight="1" x14ac:dyDescent="0.3">
      <c r="A322" s="124">
        <v>45567</v>
      </c>
      <c r="B322" s="2"/>
      <c r="C322" s="2">
        <f t="shared" si="22"/>
        <v>0</v>
      </c>
      <c r="D322" s="2">
        <v>44949</v>
      </c>
      <c r="E322" s="2">
        <v>3879</v>
      </c>
      <c r="F322" s="2">
        <f t="shared" ref="F322:F351" si="23">D322+E322</f>
        <v>48828</v>
      </c>
      <c r="G322" s="2">
        <f t="shared" ref="G322:G351" si="24">C322-F322</f>
        <v>-48828</v>
      </c>
      <c r="H322"/>
      <c r="J322" s="68"/>
      <c r="K322" s="28"/>
      <c r="L322" s="28"/>
      <c r="M322" s="28"/>
      <c r="N322" s="28"/>
      <c r="O322" s="28"/>
      <c r="P322" s="29"/>
      <c r="Q322" s="54"/>
      <c r="R322" s="30"/>
    </row>
    <row r="323" spans="1:18" ht="15" hidden="1" customHeight="1" x14ac:dyDescent="0.3">
      <c r="A323" s="124">
        <v>45568</v>
      </c>
      <c r="B323" s="2"/>
      <c r="C323" s="2">
        <f t="shared" si="22"/>
        <v>0</v>
      </c>
      <c r="D323" s="2">
        <v>39439</v>
      </c>
      <c r="E323" s="2"/>
      <c r="F323" s="2">
        <f t="shared" si="23"/>
        <v>39439</v>
      </c>
      <c r="G323" s="2">
        <f t="shared" si="24"/>
        <v>-39439</v>
      </c>
      <c r="H323"/>
      <c r="J323" s="68"/>
      <c r="K323" s="28"/>
      <c r="L323" s="28"/>
      <c r="M323" s="28"/>
      <c r="N323" s="28"/>
      <c r="O323" s="28"/>
      <c r="P323" s="29"/>
      <c r="Q323" s="54"/>
      <c r="R323" s="30"/>
    </row>
    <row r="324" spans="1:18" ht="15" hidden="1" customHeight="1" x14ac:dyDescent="0.3">
      <c r="A324" s="124">
        <v>45569</v>
      </c>
      <c r="B324" s="2">
        <v>38000</v>
      </c>
      <c r="C324" s="2">
        <f t="shared" si="22"/>
        <v>38000</v>
      </c>
      <c r="D324" s="2"/>
      <c r="E324" s="2">
        <v>1980</v>
      </c>
      <c r="F324" s="2">
        <f t="shared" si="23"/>
        <v>1980</v>
      </c>
      <c r="G324" s="2">
        <f t="shared" si="24"/>
        <v>36020</v>
      </c>
      <c r="H324" s="176" t="s">
        <v>246</v>
      </c>
      <c r="J324" s="68"/>
      <c r="K324" s="28"/>
      <c r="L324" s="28"/>
      <c r="M324" s="28"/>
      <c r="N324" s="28"/>
      <c r="O324" s="28"/>
      <c r="P324" s="29"/>
      <c r="Q324" s="54"/>
      <c r="R324" s="30"/>
    </row>
    <row r="325" spans="1:18" ht="15" hidden="1" customHeight="1" x14ac:dyDescent="0.3">
      <c r="A325" s="124">
        <v>45570</v>
      </c>
      <c r="B325" s="2"/>
      <c r="C325" s="2">
        <f t="shared" si="22"/>
        <v>0</v>
      </c>
      <c r="D325" s="2">
        <v>645000</v>
      </c>
      <c r="E325" s="2"/>
      <c r="F325" s="2">
        <f t="shared" si="23"/>
        <v>645000</v>
      </c>
      <c r="G325" s="2">
        <f t="shared" si="24"/>
        <v>-645000</v>
      </c>
      <c r="H325" s="176" t="s">
        <v>247</v>
      </c>
      <c r="J325" s="68"/>
      <c r="K325" s="28"/>
      <c r="L325" s="28"/>
      <c r="M325" s="28"/>
      <c r="N325" s="28"/>
      <c r="O325" s="28"/>
      <c r="P325" s="29"/>
      <c r="Q325" s="54"/>
      <c r="R325" s="30"/>
    </row>
    <row r="326" spans="1:18" ht="15" hidden="1" customHeight="1" x14ac:dyDescent="0.3">
      <c r="A326" s="124">
        <v>45571</v>
      </c>
      <c r="B326" s="2">
        <v>62500</v>
      </c>
      <c r="C326" s="2">
        <f t="shared" si="22"/>
        <v>62500</v>
      </c>
      <c r="D326" s="2">
        <v>27938</v>
      </c>
      <c r="E326" s="2">
        <v>4000</v>
      </c>
      <c r="F326" s="2">
        <f t="shared" si="23"/>
        <v>31938</v>
      </c>
      <c r="G326" s="2">
        <f t="shared" si="24"/>
        <v>30562</v>
      </c>
      <c r="H326" s="176"/>
      <c r="J326" s="68"/>
      <c r="K326" s="28"/>
      <c r="L326" s="28"/>
      <c r="M326" s="28"/>
      <c r="N326" s="28"/>
      <c r="O326" s="28"/>
      <c r="P326" s="29"/>
      <c r="Q326" s="54"/>
      <c r="R326" s="30"/>
    </row>
    <row r="327" spans="1:18" ht="15" hidden="1" customHeight="1" x14ac:dyDescent="0.3">
      <c r="A327" s="124">
        <v>45572</v>
      </c>
      <c r="B327" s="2"/>
      <c r="C327" s="2">
        <f t="shared" si="22"/>
        <v>0</v>
      </c>
      <c r="D327" s="2">
        <v>250968</v>
      </c>
      <c r="E327" s="2"/>
      <c r="F327" s="2">
        <f t="shared" si="23"/>
        <v>250968</v>
      </c>
      <c r="G327" s="2">
        <f t="shared" si="24"/>
        <v>-250968</v>
      </c>
      <c r="H327" s="176"/>
      <c r="J327" s="68"/>
      <c r="K327" s="28"/>
      <c r="L327" s="28"/>
      <c r="M327" s="28"/>
      <c r="N327" s="28"/>
      <c r="O327" s="28"/>
      <c r="P327" s="29"/>
      <c r="Q327" s="54"/>
      <c r="R327" s="30"/>
    </row>
    <row r="328" spans="1:18" ht="15" hidden="1" customHeight="1" x14ac:dyDescent="0.3">
      <c r="A328" s="124">
        <v>45573</v>
      </c>
      <c r="B328" s="2"/>
      <c r="C328" s="2">
        <f t="shared" si="22"/>
        <v>0</v>
      </c>
      <c r="D328" s="2">
        <v>20802</v>
      </c>
      <c r="E328" s="2"/>
      <c r="F328" s="2">
        <f t="shared" si="23"/>
        <v>20802</v>
      </c>
      <c r="G328" s="2">
        <f t="shared" si="24"/>
        <v>-20802</v>
      </c>
      <c r="H328" s="176" t="s">
        <v>186</v>
      </c>
      <c r="J328" s="68"/>
      <c r="K328" s="28"/>
      <c r="L328" s="28"/>
      <c r="M328" s="28"/>
      <c r="N328" s="28"/>
      <c r="O328" s="28"/>
      <c r="P328" s="29"/>
      <c r="Q328" s="54"/>
      <c r="R328" s="30"/>
    </row>
    <row r="329" spans="1:18" ht="15" hidden="1" customHeight="1" x14ac:dyDescent="0.3">
      <c r="A329" s="124">
        <v>45574</v>
      </c>
      <c r="B329" s="2">
        <v>42000</v>
      </c>
      <c r="C329" s="2">
        <f t="shared" si="22"/>
        <v>42000</v>
      </c>
      <c r="D329" s="2">
        <v>15349</v>
      </c>
      <c r="E329" s="2"/>
      <c r="F329" s="2">
        <f t="shared" si="23"/>
        <v>15349</v>
      </c>
      <c r="G329" s="2">
        <f t="shared" si="24"/>
        <v>26651</v>
      </c>
      <c r="H329"/>
      <c r="J329" s="68"/>
      <c r="K329" s="28"/>
      <c r="L329" s="28"/>
      <c r="M329" s="28"/>
      <c r="N329" s="28"/>
      <c r="O329" s="28"/>
      <c r="P329" s="29"/>
      <c r="Q329" s="54"/>
      <c r="R329" s="30"/>
    </row>
    <row r="330" spans="1:18" ht="15" hidden="1" customHeight="1" x14ac:dyDescent="0.3">
      <c r="A330" s="124">
        <v>45575</v>
      </c>
      <c r="B330" s="2"/>
      <c r="C330" s="2">
        <f t="shared" si="22"/>
        <v>0</v>
      </c>
      <c r="D330" s="2">
        <v>185990</v>
      </c>
      <c r="E330" s="2">
        <v>44592</v>
      </c>
      <c r="F330" s="2">
        <f t="shared" si="23"/>
        <v>230582</v>
      </c>
      <c r="G330" s="2">
        <f t="shared" si="24"/>
        <v>-230582</v>
      </c>
      <c r="H330"/>
      <c r="J330" s="68"/>
      <c r="K330" s="28"/>
      <c r="L330" s="28"/>
      <c r="M330" s="28"/>
      <c r="N330" s="28"/>
      <c r="O330" s="28"/>
      <c r="P330" s="29"/>
      <c r="Q330" s="54"/>
      <c r="R330" s="30"/>
    </row>
    <row r="331" spans="1:18" ht="15" hidden="1" customHeight="1" x14ac:dyDescent="0.3">
      <c r="A331" s="124">
        <v>45576</v>
      </c>
      <c r="B331" s="2"/>
      <c r="C331" s="2">
        <f t="shared" si="22"/>
        <v>0</v>
      </c>
      <c r="D331" s="2">
        <v>197406</v>
      </c>
      <c r="E331" s="2"/>
      <c r="F331" s="2">
        <f t="shared" si="23"/>
        <v>197406</v>
      </c>
      <c r="G331" s="2">
        <f t="shared" si="24"/>
        <v>-197406</v>
      </c>
      <c r="H331"/>
      <c r="J331" s="68"/>
      <c r="K331" s="28"/>
      <c r="L331" s="28"/>
      <c r="M331" s="28"/>
      <c r="N331" s="28"/>
      <c r="O331" s="28"/>
      <c r="P331" s="29"/>
      <c r="Q331" s="54"/>
      <c r="R331" s="30"/>
    </row>
    <row r="332" spans="1:18" ht="15" hidden="1" customHeight="1" x14ac:dyDescent="0.3">
      <c r="A332" s="124">
        <v>45577</v>
      </c>
      <c r="B332" s="2">
        <v>319805</v>
      </c>
      <c r="C332" s="2">
        <f t="shared" si="22"/>
        <v>319805</v>
      </c>
      <c r="D332" s="2"/>
      <c r="E332" s="2">
        <v>7510</v>
      </c>
      <c r="F332" s="2">
        <f t="shared" si="23"/>
        <v>7510</v>
      </c>
      <c r="G332" s="2">
        <f t="shared" si="24"/>
        <v>312295</v>
      </c>
      <c r="H332"/>
      <c r="J332" s="68"/>
      <c r="K332" s="28"/>
      <c r="L332" s="28"/>
      <c r="M332" s="28"/>
      <c r="N332" s="28"/>
      <c r="O332" s="28"/>
      <c r="P332" s="29"/>
      <c r="Q332" s="54"/>
      <c r="R332" s="30"/>
    </row>
    <row r="333" spans="1:18" ht="15" hidden="1" customHeight="1" x14ac:dyDescent="0.3">
      <c r="A333" s="124">
        <v>45578</v>
      </c>
      <c r="B333" s="2"/>
      <c r="C333" s="2">
        <f t="shared" si="22"/>
        <v>0</v>
      </c>
      <c r="D333" s="2">
        <v>35518</v>
      </c>
      <c r="E333" s="2">
        <v>81150</v>
      </c>
      <c r="F333" s="2">
        <f t="shared" si="23"/>
        <v>116668</v>
      </c>
      <c r="G333" s="2">
        <f t="shared" si="24"/>
        <v>-116668</v>
      </c>
      <c r="H333"/>
      <c r="J333" s="68"/>
      <c r="K333" s="28"/>
      <c r="L333" s="28"/>
      <c r="M333" s="28"/>
      <c r="N333" s="28"/>
      <c r="O333" s="28"/>
      <c r="P333" s="29"/>
      <c r="Q333" s="54"/>
      <c r="R333" s="30"/>
    </row>
    <row r="334" spans="1:18" ht="15" hidden="1" customHeight="1" x14ac:dyDescent="0.3">
      <c r="A334" s="124">
        <v>45579</v>
      </c>
      <c r="B334" s="2"/>
      <c r="C334" s="2">
        <f t="shared" si="22"/>
        <v>0</v>
      </c>
      <c r="D334" s="2">
        <v>152200</v>
      </c>
      <c r="E334" s="2">
        <v>91400</v>
      </c>
      <c r="F334" s="2">
        <f t="shared" si="23"/>
        <v>243600</v>
      </c>
      <c r="G334" s="2">
        <f t="shared" si="24"/>
        <v>-243600</v>
      </c>
      <c r="H334"/>
      <c r="J334" s="68"/>
      <c r="K334" s="28"/>
      <c r="L334" s="28"/>
      <c r="M334" s="28"/>
      <c r="N334" s="28"/>
      <c r="O334" s="28"/>
      <c r="P334" s="29"/>
      <c r="Q334" s="54"/>
      <c r="R334" s="30"/>
    </row>
    <row r="335" spans="1:18" ht="15" hidden="1" customHeight="1" x14ac:dyDescent="0.3">
      <c r="A335" s="124">
        <v>45580</v>
      </c>
      <c r="B335" s="2">
        <v>285600</v>
      </c>
      <c r="C335" s="2">
        <f t="shared" si="22"/>
        <v>285600</v>
      </c>
      <c r="D335" s="2">
        <v>66540</v>
      </c>
      <c r="E335" s="2">
        <v>252429</v>
      </c>
      <c r="F335" s="2">
        <f t="shared" si="23"/>
        <v>318969</v>
      </c>
      <c r="G335" s="2">
        <f t="shared" si="24"/>
        <v>-33369</v>
      </c>
      <c r="H335"/>
      <c r="J335" s="68"/>
      <c r="K335" s="28"/>
      <c r="L335" s="28"/>
      <c r="M335" s="28"/>
      <c r="N335" s="28"/>
      <c r="O335" s="28"/>
      <c r="P335" s="29"/>
      <c r="Q335" s="54"/>
      <c r="R335" s="30"/>
    </row>
    <row r="336" spans="1:18" ht="15" hidden="1" customHeight="1" x14ac:dyDescent="0.3">
      <c r="A336" s="124">
        <v>45581</v>
      </c>
      <c r="B336" s="2">
        <v>505750</v>
      </c>
      <c r="C336" s="2">
        <f t="shared" si="22"/>
        <v>505750</v>
      </c>
      <c r="D336" s="2">
        <v>32620</v>
      </c>
      <c r="E336" s="2">
        <v>121894</v>
      </c>
      <c r="F336" s="2">
        <f t="shared" si="23"/>
        <v>154514</v>
      </c>
      <c r="G336" s="2">
        <f t="shared" si="24"/>
        <v>351236</v>
      </c>
      <c r="H336"/>
      <c r="J336" s="68"/>
      <c r="K336" s="28"/>
      <c r="L336" s="28"/>
      <c r="M336" s="28"/>
      <c r="N336" s="28"/>
      <c r="O336" s="28"/>
      <c r="P336" s="29"/>
      <c r="Q336" s="54"/>
      <c r="R336" s="30"/>
    </row>
    <row r="337" spans="1:18" ht="15" hidden="1" customHeight="1" x14ac:dyDescent="0.3">
      <c r="A337" s="124">
        <v>45582</v>
      </c>
      <c r="B337" s="2"/>
      <c r="C337" s="2">
        <f t="shared" si="22"/>
        <v>0</v>
      </c>
      <c r="D337" s="2">
        <v>50337</v>
      </c>
      <c r="E337" s="2">
        <v>33950</v>
      </c>
      <c r="F337" s="2">
        <f t="shared" si="23"/>
        <v>84287</v>
      </c>
      <c r="G337" s="2">
        <f t="shared" si="24"/>
        <v>-84287</v>
      </c>
      <c r="H337"/>
      <c r="J337" s="68"/>
      <c r="K337" s="28"/>
      <c r="L337" s="28"/>
      <c r="M337" s="28"/>
      <c r="N337" s="28"/>
      <c r="O337" s="28"/>
      <c r="P337" s="29"/>
      <c r="Q337" s="54"/>
      <c r="R337" s="30"/>
    </row>
    <row r="338" spans="1:18" ht="15" hidden="1" customHeight="1" x14ac:dyDescent="0.3">
      <c r="A338" s="124">
        <v>45583</v>
      </c>
      <c r="B338" s="2">
        <v>1913500</v>
      </c>
      <c r="C338" s="2">
        <f t="shared" si="22"/>
        <v>1913500</v>
      </c>
      <c r="D338" s="2">
        <v>101800</v>
      </c>
      <c r="E338" s="2">
        <v>325544</v>
      </c>
      <c r="F338" s="2">
        <f t="shared" si="23"/>
        <v>427344</v>
      </c>
      <c r="G338" s="2">
        <f t="shared" si="24"/>
        <v>1486156</v>
      </c>
      <c r="H338"/>
      <c r="J338" s="68"/>
      <c r="K338" s="28"/>
      <c r="L338" s="28"/>
      <c r="M338" s="28"/>
      <c r="N338" s="28"/>
      <c r="O338" s="28"/>
      <c r="P338" s="29"/>
      <c r="Q338" s="54"/>
      <c r="R338" s="30"/>
    </row>
    <row r="339" spans="1:18" ht="15" hidden="1" customHeight="1" x14ac:dyDescent="0.3">
      <c r="A339" s="124">
        <v>45584</v>
      </c>
      <c r="B339" s="2">
        <v>1900000</v>
      </c>
      <c r="C339" s="2">
        <f t="shared" si="22"/>
        <v>1900000</v>
      </c>
      <c r="D339" s="2">
        <v>84827</v>
      </c>
      <c r="E339" s="2"/>
      <c r="F339" s="2">
        <f t="shared" si="23"/>
        <v>84827</v>
      </c>
      <c r="G339" s="2">
        <f t="shared" si="24"/>
        <v>1815173</v>
      </c>
      <c r="H339"/>
      <c r="J339" s="68"/>
      <c r="K339" s="28"/>
      <c r="L339" s="28"/>
      <c r="M339" s="28"/>
      <c r="N339" s="28"/>
      <c r="O339" s="28"/>
      <c r="P339" s="29"/>
      <c r="Q339" s="54"/>
      <c r="R339" s="30"/>
    </row>
    <row r="340" spans="1:18" ht="15" hidden="1" customHeight="1" x14ac:dyDescent="0.3">
      <c r="A340" s="124">
        <v>45585</v>
      </c>
      <c r="B340" s="2"/>
      <c r="C340" s="2">
        <f t="shared" si="22"/>
        <v>0</v>
      </c>
      <c r="D340" s="2"/>
      <c r="E340" s="2"/>
      <c r="F340" s="2">
        <f t="shared" si="23"/>
        <v>0</v>
      </c>
      <c r="G340" s="2">
        <f t="shared" si="24"/>
        <v>0</v>
      </c>
      <c r="H340"/>
      <c r="J340" s="68"/>
      <c r="K340" s="28"/>
      <c r="L340" s="28"/>
      <c r="M340" s="28"/>
      <c r="N340" s="28"/>
      <c r="O340" s="28"/>
      <c r="P340" s="29"/>
      <c r="Q340" s="54"/>
      <c r="R340" s="30"/>
    </row>
    <row r="341" spans="1:18" ht="15" hidden="1" customHeight="1" x14ac:dyDescent="0.3">
      <c r="A341" s="124">
        <v>45586</v>
      </c>
      <c r="B341" s="2">
        <v>428400</v>
      </c>
      <c r="C341" s="2">
        <f t="shared" si="22"/>
        <v>428400</v>
      </c>
      <c r="D341" s="2">
        <v>40280</v>
      </c>
      <c r="E341" s="2">
        <f>10530+26000</f>
        <v>36530</v>
      </c>
      <c r="F341" s="2">
        <f t="shared" si="23"/>
        <v>76810</v>
      </c>
      <c r="G341" s="2">
        <f t="shared" si="24"/>
        <v>351590</v>
      </c>
      <c r="H341"/>
      <c r="J341" s="68"/>
      <c r="K341" s="28"/>
      <c r="L341" s="28"/>
      <c r="M341" s="28"/>
      <c r="N341" s="28"/>
      <c r="O341" s="28"/>
      <c r="P341" s="29"/>
      <c r="Q341" s="54"/>
      <c r="R341" s="30"/>
    </row>
    <row r="342" spans="1:18" ht="15" hidden="1" customHeight="1" x14ac:dyDescent="0.3">
      <c r="A342" s="124">
        <v>45587</v>
      </c>
      <c r="B342" s="2">
        <v>216580</v>
      </c>
      <c r="C342" s="2">
        <f t="shared" si="22"/>
        <v>216580</v>
      </c>
      <c r="D342" s="2">
        <f>41500+35000+55000+35000+90000+25000</f>
        <v>281500</v>
      </c>
      <c r="E342" s="2"/>
      <c r="F342" s="2">
        <f t="shared" si="23"/>
        <v>281500</v>
      </c>
      <c r="G342" s="2">
        <f t="shared" si="24"/>
        <v>-64920</v>
      </c>
      <c r="H342"/>
      <c r="J342" s="68"/>
      <c r="K342" s="28"/>
      <c r="L342" s="28"/>
      <c r="M342" s="28"/>
      <c r="N342" s="28"/>
      <c r="O342" s="28"/>
      <c r="P342" s="29"/>
      <c r="Q342" s="54"/>
      <c r="R342" s="30"/>
    </row>
    <row r="343" spans="1:18" ht="15" hidden="1" customHeight="1" x14ac:dyDescent="0.3">
      <c r="A343" s="124">
        <v>45588</v>
      </c>
      <c r="B343" s="2"/>
      <c r="C343" s="2">
        <f t="shared" si="22"/>
        <v>0</v>
      </c>
      <c r="D343" s="2">
        <f>25000+35000+4800+260000+40000</f>
        <v>364800</v>
      </c>
      <c r="E343" s="2">
        <f>41436+122449</f>
        <v>163885</v>
      </c>
      <c r="F343" s="2">
        <f t="shared" si="23"/>
        <v>528685</v>
      </c>
      <c r="G343" s="2">
        <f t="shared" si="24"/>
        <v>-528685</v>
      </c>
      <c r="H343"/>
      <c r="J343" s="68"/>
      <c r="K343" s="28"/>
      <c r="L343" s="28"/>
      <c r="M343" s="28"/>
      <c r="N343" s="28"/>
      <c r="O343" s="28"/>
      <c r="P343" s="29"/>
      <c r="Q343" s="54"/>
      <c r="R343" s="30"/>
    </row>
    <row r="344" spans="1:18" ht="15" hidden="1" customHeight="1" x14ac:dyDescent="0.3">
      <c r="A344" s="124">
        <v>45589</v>
      </c>
      <c r="B344" s="2">
        <v>138000</v>
      </c>
      <c r="C344" s="2">
        <f t="shared" si="22"/>
        <v>138000</v>
      </c>
      <c r="D344" s="2">
        <v>46352</v>
      </c>
      <c r="E344" s="2">
        <v>2500</v>
      </c>
      <c r="F344" s="2">
        <f t="shared" si="23"/>
        <v>48852</v>
      </c>
      <c r="G344" s="2">
        <f t="shared" si="24"/>
        <v>89148</v>
      </c>
      <c r="H344"/>
      <c r="J344" s="68"/>
      <c r="K344" s="28"/>
      <c r="L344" s="28"/>
      <c r="M344" s="28"/>
      <c r="N344" s="28"/>
      <c r="O344" s="28"/>
      <c r="P344" s="29"/>
      <c r="Q344" s="54"/>
      <c r="R344" s="30"/>
    </row>
    <row r="345" spans="1:18" ht="15" hidden="1" customHeight="1" x14ac:dyDescent="0.3">
      <c r="A345" s="124">
        <v>45590</v>
      </c>
      <c r="B345" s="2">
        <v>133333</v>
      </c>
      <c r="C345" s="2">
        <f t="shared" si="22"/>
        <v>133333</v>
      </c>
      <c r="D345" s="2">
        <v>2976</v>
      </c>
      <c r="E345" s="2"/>
      <c r="F345" s="2">
        <f t="shared" si="23"/>
        <v>2976</v>
      </c>
      <c r="G345" s="2">
        <f t="shared" si="24"/>
        <v>130357</v>
      </c>
      <c r="H345"/>
      <c r="J345" s="68"/>
      <c r="K345" s="28"/>
      <c r="L345" s="28"/>
      <c r="M345" s="28"/>
      <c r="N345" s="28"/>
      <c r="O345" s="28"/>
      <c r="P345" s="29"/>
      <c r="Q345" s="54"/>
      <c r="R345" s="30"/>
    </row>
    <row r="346" spans="1:18" ht="15" hidden="1" customHeight="1" x14ac:dyDescent="0.3">
      <c r="A346" s="124">
        <v>45591</v>
      </c>
      <c r="B346" s="2"/>
      <c r="C346" s="2">
        <f t="shared" si="22"/>
        <v>0</v>
      </c>
      <c r="D346" s="2"/>
      <c r="E346" s="2"/>
      <c r="F346" s="2">
        <f t="shared" si="23"/>
        <v>0</v>
      </c>
      <c r="G346" s="2">
        <f t="shared" si="24"/>
        <v>0</v>
      </c>
      <c r="H346"/>
      <c r="J346" s="68"/>
      <c r="K346" s="28"/>
      <c r="L346" s="28"/>
      <c r="M346" s="28"/>
      <c r="N346" s="28"/>
      <c r="O346" s="28"/>
      <c r="P346" s="29"/>
      <c r="Q346" s="54"/>
      <c r="R346" s="30"/>
    </row>
    <row r="347" spans="1:18" ht="15" hidden="1" customHeight="1" x14ac:dyDescent="0.3">
      <c r="A347" s="124">
        <v>45592</v>
      </c>
      <c r="B347" s="2"/>
      <c r="C347" s="2">
        <f t="shared" si="22"/>
        <v>0</v>
      </c>
      <c r="D347" s="2">
        <v>110000</v>
      </c>
      <c r="E347" s="2"/>
      <c r="F347" s="2">
        <f t="shared" si="23"/>
        <v>110000</v>
      </c>
      <c r="G347" s="2">
        <f t="shared" si="24"/>
        <v>-110000</v>
      </c>
      <c r="H347"/>
      <c r="J347" s="68"/>
      <c r="K347" s="28"/>
      <c r="L347" s="28"/>
      <c r="M347" s="28"/>
      <c r="N347" s="28"/>
      <c r="O347" s="28"/>
      <c r="P347" s="29"/>
      <c r="Q347" s="54"/>
      <c r="R347" s="30"/>
    </row>
    <row r="348" spans="1:18" ht="15" hidden="1" customHeight="1" x14ac:dyDescent="0.3">
      <c r="A348" s="124">
        <v>45593</v>
      </c>
      <c r="B348" s="2">
        <v>20000</v>
      </c>
      <c r="C348" s="2">
        <f t="shared" si="22"/>
        <v>20000</v>
      </c>
      <c r="D348" s="2"/>
      <c r="E348" s="2"/>
      <c r="F348" s="2">
        <f t="shared" si="23"/>
        <v>0</v>
      </c>
      <c r="G348" s="2">
        <f t="shared" si="24"/>
        <v>20000</v>
      </c>
      <c r="H348"/>
      <c r="J348" s="68"/>
      <c r="K348" s="28"/>
      <c r="L348" s="28"/>
      <c r="M348" s="28"/>
      <c r="N348" s="28"/>
      <c r="O348" s="28"/>
      <c r="P348" s="29"/>
      <c r="Q348" s="54"/>
      <c r="R348" s="30"/>
    </row>
    <row r="349" spans="1:18" ht="15" hidden="1" customHeight="1" x14ac:dyDescent="0.3">
      <c r="A349" s="124">
        <v>45594</v>
      </c>
      <c r="B349" s="2"/>
      <c r="C349" s="2">
        <f t="shared" si="22"/>
        <v>0</v>
      </c>
      <c r="D349" s="2"/>
      <c r="E349" s="2">
        <v>50501</v>
      </c>
      <c r="F349" s="2">
        <f t="shared" si="23"/>
        <v>50501</v>
      </c>
      <c r="G349" s="2">
        <f t="shared" si="24"/>
        <v>-50501</v>
      </c>
      <c r="H349"/>
      <c r="J349" s="68"/>
      <c r="K349" s="28"/>
      <c r="L349" s="28"/>
      <c r="M349" s="28"/>
      <c r="N349" s="28"/>
      <c r="O349" s="28"/>
      <c r="P349" s="29"/>
      <c r="Q349" s="54"/>
      <c r="R349" s="30"/>
    </row>
    <row r="350" spans="1:18" ht="15" hidden="1" customHeight="1" x14ac:dyDescent="0.3">
      <c r="A350" s="124">
        <v>45595</v>
      </c>
      <c r="B350" s="2">
        <v>237610</v>
      </c>
      <c r="C350" s="2">
        <f t="shared" si="22"/>
        <v>237610</v>
      </c>
      <c r="D350" s="2">
        <v>19312</v>
      </c>
      <c r="E350" s="2">
        <v>20000</v>
      </c>
      <c r="F350" s="2">
        <f t="shared" si="23"/>
        <v>39312</v>
      </c>
      <c r="G350" s="2">
        <f t="shared" si="24"/>
        <v>198298</v>
      </c>
      <c r="H350"/>
      <c r="J350" s="68"/>
      <c r="K350" s="28"/>
      <c r="L350" s="28"/>
      <c r="M350" s="28"/>
      <c r="N350" s="28"/>
      <c r="O350" s="28"/>
      <c r="P350" s="29"/>
      <c r="Q350" s="54"/>
      <c r="R350" s="30"/>
    </row>
    <row r="351" spans="1:18" ht="15" hidden="1" customHeight="1" x14ac:dyDescent="0.3">
      <c r="A351" s="124">
        <v>45596</v>
      </c>
      <c r="B351" s="2">
        <v>117500</v>
      </c>
      <c r="C351" s="2">
        <f>B351</f>
        <v>117500</v>
      </c>
      <c r="D351" s="2"/>
      <c r="E351" s="2">
        <v>19140</v>
      </c>
      <c r="F351" s="2">
        <f t="shared" si="23"/>
        <v>19140</v>
      </c>
      <c r="G351" s="2">
        <f t="shared" si="24"/>
        <v>98360</v>
      </c>
      <c r="H351"/>
      <c r="J351" s="68"/>
      <c r="K351" s="28"/>
      <c r="L351" s="28"/>
      <c r="M351" s="28"/>
      <c r="N351" s="28"/>
      <c r="O351" s="28"/>
      <c r="P351" s="29"/>
      <c r="Q351" s="54"/>
      <c r="R351" s="30"/>
    </row>
    <row r="352" spans="1:18" ht="15" hidden="1" customHeight="1" x14ac:dyDescent="0.3">
      <c r="A352" s="124" t="s">
        <v>50</v>
      </c>
      <c r="B352" s="2">
        <f t="shared" ref="B352:G352" si="25">SUM(B321:B351)</f>
        <v>6423378</v>
      </c>
      <c r="C352" s="2">
        <f t="shared" si="25"/>
        <v>6423378</v>
      </c>
      <c r="D352" s="2">
        <f t="shared" si="25"/>
        <v>2822743</v>
      </c>
      <c r="E352" s="2">
        <f t="shared" si="25"/>
        <v>1333384</v>
      </c>
      <c r="F352" s="2">
        <f t="shared" si="25"/>
        <v>4156127</v>
      </c>
      <c r="G352" s="2">
        <f t="shared" si="25"/>
        <v>2267251</v>
      </c>
      <c r="H352"/>
      <c r="J352" s="68"/>
      <c r="K352" s="28"/>
      <c r="L352" s="28"/>
      <c r="M352" s="28"/>
      <c r="N352" s="28"/>
      <c r="O352" s="28"/>
      <c r="P352" s="29"/>
      <c r="Q352" s="54"/>
      <c r="R352" s="30"/>
    </row>
    <row r="353" spans="1:18" ht="15" hidden="1" customHeight="1" x14ac:dyDescent="0.3">
      <c r="A353" s="124"/>
      <c r="B353" s="2"/>
      <c r="C353" s="2"/>
      <c r="D353" s="2"/>
      <c r="E353" s="2"/>
      <c r="F353" s="2"/>
      <c r="G353" s="2"/>
      <c r="H353"/>
      <c r="J353" s="68"/>
      <c r="K353" s="28"/>
      <c r="L353" s="28"/>
      <c r="M353" s="28"/>
      <c r="N353" s="28"/>
      <c r="O353" s="28"/>
      <c r="P353" s="29"/>
      <c r="Q353" s="54"/>
      <c r="R353" s="30"/>
    </row>
    <row r="354" spans="1:18" ht="15" hidden="1" customHeight="1" x14ac:dyDescent="0.3">
      <c r="A354" s="124"/>
      <c r="B354" s="2"/>
      <c r="C354" s="2"/>
      <c r="D354" s="2"/>
      <c r="E354" s="2"/>
      <c r="F354" s="2"/>
      <c r="G354" s="2"/>
      <c r="H354"/>
      <c r="J354" s="68"/>
      <c r="K354" s="28"/>
      <c r="L354" s="28"/>
      <c r="M354" s="28"/>
      <c r="N354" s="28"/>
      <c r="O354" s="28"/>
      <c r="P354" s="29"/>
      <c r="Q354" s="54"/>
      <c r="R354" s="30"/>
    </row>
    <row r="355" spans="1:18" ht="15" hidden="1" customHeight="1" x14ac:dyDescent="0.3">
      <c r="A355" s="124"/>
      <c r="B355" s="2"/>
      <c r="C355" s="2"/>
      <c r="D355" s="2"/>
      <c r="E355" s="2"/>
      <c r="F355" s="2"/>
      <c r="G355" s="2"/>
      <c r="H355"/>
      <c r="J355" s="68"/>
      <c r="K355" s="28"/>
      <c r="L355" s="28"/>
      <c r="M355" s="28"/>
      <c r="N355" s="28"/>
      <c r="O355" s="28"/>
      <c r="P355" s="29"/>
      <c r="Q355" s="54"/>
      <c r="R355" s="30"/>
    </row>
    <row r="356" spans="1:18" ht="15" hidden="1" customHeight="1" x14ac:dyDescent="0.3">
      <c r="A356" s="124">
        <v>45536</v>
      </c>
      <c r="B356" s="2">
        <v>14800</v>
      </c>
      <c r="C356" s="2">
        <v>14800</v>
      </c>
      <c r="D356" s="2"/>
      <c r="E356" s="2">
        <v>6530</v>
      </c>
      <c r="F356" s="2">
        <v>6530</v>
      </c>
      <c r="G356" s="2">
        <v>8270</v>
      </c>
      <c r="H356" s="176"/>
      <c r="J356" s="68"/>
      <c r="K356" s="28"/>
      <c r="L356" s="28"/>
      <c r="M356" s="28"/>
      <c r="N356" s="28"/>
      <c r="O356" s="28"/>
      <c r="P356" s="29"/>
      <c r="Q356" s="54"/>
      <c r="R356" s="30"/>
    </row>
    <row r="357" spans="1:18" ht="15" hidden="1" customHeight="1" x14ac:dyDescent="0.3">
      <c r="A357" s="124">
        <v>45537</v>
      </c>
      <c r="B357" s="2"/>
      <c r="C357" s="2">
        <v>0</v>
      </c>
      <c r="D357" s="2">
        <v>48256</v>
      </c>
      <c r="E357" s="2">
        <v>4800</v>
      </c>
      <c r="F357" s="2">
        <v>53056</v>
      </c>
      <c r="G357" s="2">
        <v>-53056</v>
      </c>
      <c r="H357" s="176"/>
      <c r="J357" s="68"/>
      <c r="K357" s="28"/>
      <c r="L357" s="28"/>
      <c r="M357" s="28"/>
      <c r="N357" s="28"/>
      <c r="O357" s="28"/>
      <c r="P357" s="29"/>
      <c r="Q357" s="54"/>
      <c r="R357" s="30"/>
    </row>
    <row r="358" spans="1:18" ht="15" hidden="1" customHeight="1" x14ac:dyDescent="0.3">
      <c r="A358" s="124">
        <v>45538</v>
      </c>
      <c r="B358" s="2"/>
      <c r="C358" s="2">
        <v>0</v>
      </c>
      <c r="D358" s="2">
        <v>71482</v>
      </c>
      <c r="E358" s="2">
        <v>219323</v>
      </c>
      <c r="F358" s="2">
        <v>290805</v>
      </c>
      <c r="G358" s="2">
        <v>-290805</v>
      </c>
      <c r="H358" s="176" t="s">
        <v>186</v>
      </c>
      <c r="J358" s="68"/>
      <c r="K358" s="28"/>
      <c r="L358" s="28"/>
      <c r="M358" s="28"/>
      <c r="N358" s="28"/>
      <c r="O358" s="28"/>
      <c r="P358" s="29"/>
      <c r="Q358" s="54"/>
      <c r="R358" s="30"/>
    </row>
    <row r="359" spans="1:18" ht="15" hidden="1" customHeight="1" x14ac:dyDescent="0.3">
      <c r="A359" s="124">
        <v>45539</v>
      </c>
      <c r="B359" s="2"/>
      <c r="C359" s="2">
        <v>0</v>
      </c>
      <c r="D359" s="2">
        <v>81830</v>
      </c>
      <c r="E359" s="2">
        <v>117930</v>
      </c>
      <c r="F359" s="2">
        <v>199760</v>
      </c>
      <c r="G359" s="2">
        <v>-199760</v>
      </c>
      <c r="H359" s="176"/>
      <c r="J359" s="68"/>
      <c r="K359" s="28"/>
      <c r="L359" s="28"/>
      <c r="M359" s="28"/>
      <c r="N359" s="28"/>
      <c r="O359" s="28"/>
      <c r="P359" s="29"/>
      <c r="Q359" s="54"/>
      <c r="R359" s="30"/>
    </row>
    <row r="360" spans="1:18" ht="15" hidden="1" customHeight="1" x14ac:dyDescent="0.3">
      <c r="A360" s="124">
        <v>45540</v>
      </c>
      <c r="B360" s="2">
        <v>118800</v>
      </c>
      <c r="C360" s="2">
        <v>118800</v>
      </c>
      <c r="D360" s="2">
        <v>478950</v>
      </c>
      <c r="E360" s="2">
        <v>21540</v>
      </c>
      <c r="F360" s="2">
        <v>500490</v>
      </c>
      <c r="G360" s="2">
        <v>-381690</v>
      </c>
      <c r="H360" s="176" t="s">
        <v>243</v>
      </c>
      <c r="J360" s="68"/>
      <c r="K360" s="28"/>
      <c r="L360" s="28"/>
      <c r="M360" s="28"/>
      <c r="N360" s="28"/>
      <c r="O360" s="28"/>
      <c r="P360" s="29"/>
      <c r="Q360" s="54"/>
      <c r="R360" s="30"/>
    </row>
    <row r="361" spans="1:18" ht="15" hidden="1" customHeight="1" x14ac:dyDescent="0.3">
      <c r="A361" s="124">
        <v>45541</v>
      </c>
      <c r="B361" s="2"/>
      <c r="C361" s="2">
        <v>0</v>
      </c>
      <c r="D361" s="2">
        <v>126502</v>
      </c>
      <c r="E361" s="2">
        <v>55953</v>
      </c>
      <c r="F361" s="2">
        <v>182455</v>
      </c>
      <c r="G361" s="2">
        <v>-182455</v>
      </c>
      <c r="H361" s="176"/>
      <c r="J361" s="68"/>
      <c r="K361" s="28"/>
      <c r="L361" s="28"/>
      <c r="M361" s="28"/>
      <c r="N361" s="28"/>
      <c r="O361" s="28"/>
      <c r="P361" s="29"/>
      <c r="Q361" s="54"/>
      <c r="R361" s="30"/>
    </row>
    <row r="362" spans="1:18" ht="15" hidden="1" customHeight="1" x14ac:dyDescent="0.3">
      <c r="A362" s="124">
        <v>45542</v>
      </c>
      <c r="B362" s="2">
        <v>33333</v>
      </c>
      <c r="C362" s="2">
        <v>33333</v>
      </c>
      <c r="D362" s="2">
        <v>90000</v>
      </c>
      <c r="E362" s="2">
        <v>111970</v>
      </c>
      <c r="F362" s="2">
        <v>201970</v>
      </c>
      <c r="G362" s="2">
        <v>-168637</v>
      </c>
      <c r="H362" s="196" t="s">
        <v>244</v>
      </c>
      <c r="J362" s="68"/>
      <c r="K362" s="28"/>
      <c r="L362" s="28"/>
      <c r="M362" s="28"/>
      <c r="N362" s="28"/>
      <c r="O362" s="28"/>
      <c r="P362" s="29"/>
      <c r="Q362" s="54"/>
      <c r="R362" s="30"/>
    </row>
    <row r="363" spans="1:18" ht="15" hidden="1" customHeight="1" x14ac:dyDescent="0.3">
      <c r="A363" s="124">
        <v>45543</v>
      </c>
      <c r="B363" s="2">
        <v>40000</v>
      </c>
      <c r="C363" s="2">
        <v>40000</v>
      </c>
      <c r="D363" s="2"/>
      <c r="E363" s="2">
        <v>95276</v>
      </c>
      <c r="F363" s="2">
        <v>95276</v>
      </c>
      <c r="G363" s="2">
        <v>-55276</v>
      </c>
      <c r="H363" s="176"/>
      <c r="J363" s="68"/>
      <c r="K363" s="28"/>
      <c r="L363" s="28"/>
      <c r="M363" s="28"/>
      <c r="N363" s="28"/>
      <c r="O363" s="28"/>
      <c r="P363" s="29"/>
      <c r="Q363" s="54"/>
      <c r="R363" s="30"/>
    </row>
    <row r="364" spans="1:18" ht="15" hidden="1" customHeight="1" x14ac:dyDescent="0.3">
      <c r="A364" s="124">
        <v>45544</v>
      </c>
      <c r="B364" s="2">
        <v>337960</v>
      </c>
      <c r="C364" s="2">
        <v>337960</v>
      </c>
      <c r="D364" s="2"/>
      <c r="E364" s="2">
        <v>269229</v>
      </c>
      <c r="F364" s="2">
        <v>269229</v>
      </c>
      <c r="G364" s="2">
        <v>68731</v>
      </c>
      <c r="H364" s="176"/>
      <c r="J364" s="68"/>
      <c r="K364" s="28"/>
      <c r="L364" s="28"/>
      <c r="M364" s="28"/>
      <c r="N364" s="28"/>
      <c r="O364" s="28"/>
      <c r="P364" s="29"/>
      <c r="Q364" s="54"/>
      <c r="R364" s="30"/>
    </row>
    <row r="365" spans="1:18" ht="15" hidden="1" customHeight="1" x14ac:dyDescent="0.3">
      <c r="A365" s="124">
        <v>45545</v>
      </c>
      <c r="B365" s="2">
        <v>1757000</v>
      </c>
      <c r="C365" s="2">
        <v>1757000</v>
      </c>
      <c r="D365" s="2">
        <v>189790</v>
      </c>
      <c r="E365" s="2">
        <v>10580</v>
      </c>
      <c r="F365" s="2">
        <v>200370</v>
      </c>
      <c r="G365" s="2">
        <v>1556630</v>
      </c>
      <c r="H365" s="198" t="s">
        <v>245</v>
      </c>
      <c r="J365" s="68"/>
      <c r="K365" s="28"/>
      <c r="L365" s="28"/>
      <c r="M365" s="28"/>
      <c r="N365" s="28"/>
      <c r="O365" s="28"/>
      <c r="P365" s="29"/>
      <c r="Q365" s="54"/>
      <c r="R365" s="30"/>
    </row>
    <row r="366" spans="1:18" ht="15" hidden="1" customHeight="1" x14ac:dyDescent="0.3">
      <c r="A366" s="124">
        <v>45546</v>
      </c>
      <c r="B366" s="2">
        <v>10000</v>
      </c>
      <c r="C366" s="2">
        <v>10000</v>
      </c>
      <c r="D366" s="2"/>
      <c r="E366" s="2"/>
      <c r="F366" s="2">
        <v>0</v>
      </c>
      <c r="G366" s="2">
        <v>10000</v>
      </c>
      <c r="H366" s="176"/>
      <c r="J366" s="68"/>
      <c r="K366" s="28"/>
      <c r="L366" s="28"/>
      <c r="M366" s="28"/>
      <c r="N366" s="28"/>
      <c r="O366" s="28"/>
      <c r="P366" s="29"/>
      <c r="Q366" s="54"/>
      <c r="R366" s="30"/>
    </row>
    <row r="367" spans="1:18" ht="15" hidden="1" customHeight="1" x14ac:dyDescent="0.3">
      <c r="A367" s="124">
        <v>45547</v>
      </c>
      <c r="B367" s="2">
        <v>1346700</v>
      </c>
      <c r="C367" s="2">
        <v>1346700</v>
      </c>
      <c r="D367" s="2"/>
      <c r="E367" s="2"/>
      <c r="F367" s="2">
        <v>0</v>
      </c>
      <c r="G367" s="2">
        <v>1346700</v>
      </c>
      <c r="H367" s="176"/>
      <c r="J367" s="68"/>
      <c r="K367" s="28"/>
      <c r="L367" s="28"/>
      <c r="M367" s="28"/>
      <c r="N367" s="28"/>
      <c r="O367" s="28"/>
      <c r="P367" s="29"/>
      <c r="Q367" s="54"/>
      <c r="R367" s="30"/>
    </row>
    <row r="368" spans="1:18" ht="15" hidden="1" customHeight="1" x14ac:dyDescent="0.3">
      <c r="A368" s="124">
        <v>45548</v>
      </c>
      <c r="B368" s="2"/>
      <c r="C368" s="2">
        <v>0</v>
      </c>
      <c r="D368" s="2">
        <v>49442</v>
      </c>
      <c r="E368" s="2">
        <v>97890</v>
      </c>
      <c r="F368" s="2">
        <v>147332</v>
      </c>
      <c r="G368" s="2">
        <v>-147332</v>
      </c>
      <c r="H368" s="176"/>
      <c r="J368" s="68"/>
      <c r="K368" s="28"/>
      <c r="L368" s="28"/>
      <c r="M368" s="28"/>
      <c r="N368" s="28"/>
      <c r="O368" s="28"/>
      <c r="P368" s="29"/>
      <c r="Q368" s="54"/>
      <c r="R368" s="30"/>
    </row>
    <row r="369" spans="1:18" ht="15" hidden="1" customHeight="1" x14ac:dyDescent="0.3">
      <c r="A369" s="124">
        <v>45549</v>
      </c>
      <c r="B369" s="2">
        <v>386000</v>
      </c>
      <c r="C369" s="2">
        <v>386000</v>
      </c>
      <c r="D369" s="2"/>
      <c r="E369" s="2">
        <v>135799</v>
      </c>
      <c r="F369" s="2"/>
      <c r="G369" s="2">
        <v>386000</v>
      </c>
      <c r="H369" s="198" t="s">
        <v>245</v>
      </c>
      <c r="J369" s="68"/>
      <c r="K369" s="28"/>
      <c r="L369" s="28"/>
      <c r="M369" s="28"/>
      <c r="N369" s="28"/>
      <c r="O369" s="28"/>
      <c r="P369" s="29"/>
      <c r="Q369" s="54"/>
      <c r="R369" s="30"/>
    </row>
    <row r="370" spans="1:18" ht="15" hidden="1" customHeight="1" x14ac:dyDescent="0.3">
      <c r="A370" s="124">
        <v>45550</v>
      </c>
      <c r="B370" s="2"/>
      <c r="C370" s="2">
        <v>0</v>
      </c>
      <c r="D370" s="2"/>
      <c r="E370" s="2">
        <v>2500</v>
      </c>
      <c r="F370" s="2">
        <v>2500</v>
      </c>
      <c r="G370" s="2">
        <v>-2500</v>
      </c>
      <c r="H370" s="176"/>
      <c r="J370" s="68"/>
      <c r="K370" s="28"/>
      <c r="L370" s="28"/>
      <c r="M370" s="28"/>
      <c r="N370" s="28"/>
      <c r="O370" s="28"/>
      <c r="P370" s="29"/>
      <c r="Q370" s="54"/>
      <c r="R370" s="30"/>
    </row>
    <row r="371" spans="1:18" ht="15" hidden="1" customHeight="1" x14ac:dyDescent="0.3">
      <c r="A371" s="124">
        <v>45551</v>
      </c>
      <c r="B371" s="2">
        <v>1447992</v>
      </c>
      <c r="C371" s="2">
        <v>1447992</v>
      </c>
      <c r="D371" s="2">
        <v>123994</v>
      </c>
      <c r="E371" s="2">
        <v>71612</v>
      </c>
      <c r="F371" s="2">
        <v>195606</v>
      </c>
      <c r="G371" s="2">
        <v>1252386</v>
      </c>
      <c r="H371" s="176"/>
      <c r="J371" s="68"/>
      <c r="K371" s="28"/>
      <c r="L371" s="28"/>
      <c r="M371" s="28"/>
      <c r="N371" s="28"/>
      <c r="O371" s="28"/>
      <c r="P371" s="29"/>
      <c r="Q371" s="54"/>
      <c r="R371" s="30"/>
    </row>
    <row r="372" spans="1:18" ht="15" hidden="1" customHeight="1" x14ac:dyDescent="0.3">
      <c r="A372" s="124">
        <v>45552</v>
      </c>
      <c r="B372" s="2">
        <v>442600</v>
      </c>
      <c r="C372" s="2">
        <v>442600</v>
      </c>
      <c r="D372" s="2"/>
      <c r="E372" s="2"/>
      <c r="F372" s="2">
        <v>0</v>
      </c>
      <c r="G372" s="2">
        <v>442600</v>
      </c>
      <c r="H372" s="176"/>
      <c r="J372" s="68"/>
      <c r="K372" s="28"/>
      <c r="L372" s="28"/>
      <c r="M372" s="28"/>
      <c r="N372" s="28"/>
      <c r="O372" s="28"/>
      <c r="P372" s="29"/>
      <c r="Q372" s="54"/>
      <c r="R372" s="30"/>
    </row>
    <row r="373" spans="1:18" ht="15" hidden="1" customHeight="1" x14ac:dyDescent="0.3">
      <c r="A373" s="124">
        <v>45553</v>
      </c>
      <c r="B373" s="2"/>
      <c r="C373" s="2">
        <v>0</v>
      </c>
      <c r="D373" s="2"/>
      <c r="E373" s="2"/>
      <c r="F373" s="2">
        <v>0</v>
      </c>
      <c r="G373" s="2">
        <v>0</v>
      </c>
      <c r="H373" s="176"/>
      <c r="J373" s="68"/>
      <c r="K373" s="28"/>
      <c r="L373" s="28"/>
      <c r="M373" s="28"/>
      <c r="N373" s="28"/>
      <c r="O373" s="28"/>
      <c r="P373" s="29"/>
      <c r="Q373" s="54"/>
      <c r="R373" s="30"/>
    </row>
    <row r="374" spans="1:18" ht="15" hidden="1" customHeight="1" x14ac:dyDescent="0.3">
      <c r="A374" s="124">
        <v>45554</v>
      </c>
      <c r="B374" s="2"/>
      <c r="C374" s="2">
        <v>0</v>
      </c>
      <c r="D374" s="2"/>
      <c r="E374" s="2"/>
      <c r="F374" s="2">
        <v>0</v>
      </c>
      <c r="G374" s="2">
        <v>0</v>
      </c>
      <c r="H374" s="176"/>
      <c r="J374" s="68"/>
      <c r="K374" s="28"/>
      <c r="L374" s="28"/>
      <c r="M374" s="28"/>
      <c r="N374" s="28"/>
      <c r="O374" s="28"/>
      <c r="P374" s="29"/>
      <c r="Q374" s="54"/>
      <c r="R374" s="30"/>
    </row>
    <row r="375" spans="1:18" ht="15" hidden="1" customHeight="1" x14ac:dyDescent="0.3">
      <c r="A375" s="124">
        <v>45555</v>
      </c>
      <c r="B375" s="2"/>
      <c r="C375" s="2">
        <v>0</v>
      </c>
      <c r="D375" s="2">
        <v>30440</v>
      </c>
      <c r="E375" s="2">
        <v>364474</v>
      </c>
      <c r="F375" s="2">
        <v>394914</v>
      </c>
      <c r="G375" s="2">
        <v>-394914</v>
      </c>
      <c r="H375" s="176"/>
      <c r="J375" s="68"/>
      <c r="K375" s="28"/>
      <c r="L375" s="28"/>
      <c r="M375" s="28"/>
      <c r="N375" s="28"/>
      <c r="O375" s="28"/>
      <c r="P375" s="29"/>
      <c r="Q375" s="54"/>
      <c r="R375" s="30"/>
    </row>
    <row r="376" spans="1:18" ht="15" hidden="1" customHeight="1" x14ac:dyDescent="0.3">
      <c r="A376" s="124">
        <v>45556</v>
      </c>
      <c r="B376" s="2">
        <v>1660000</v>
      </c>
      <c r="C376" s="2">
        <v>1660000</v>
      </c>
      <c r="D376" s="2">
        <v>199500</v>
      </c>
      <c r="E376" s="2">
        <v>30050</v>
      </c>
      <c r="F376" s="2">
        <v>229550</v>
      </c>
      <c r="G376" s="2">
        <v>1430450</v>
      </c>
      <c r="H376" s="198" t="s">
        <v>245</v>
      </c>
      <c r="J376" s="68"/>
      <c r="K376" s="28"/>
      <c r="L376" s="28"/>
      <c r="M376" s="28"/>
      <c r="N376" s="28"/>
      <c r="O376" s="28"/>
      <c r="P376" s="29"/>
      <c r="Q376" s="54"/>
      <c r="R376" s="30"/>
    </row>
    <row r="377" spans="1:18" ht="15" hidden="1" customHeight="1" x14ac:dyDescent="0.3">
      <c r="A377" s="124">
        <v>45557</v>
      </c>
      <c r="B377" s="2"/>
      <c r="C377" s="2">
        <v>0</v>
      </c>
      <c r="D377" s="2"/>
      <c r="E377" s="2">
        <v>1100</v>
      </c>
      <c r="F377" s="2">
        <v>1100</v>
      </c>
      <c r="G377" s="2">
        <v>-1100</v>
      </c>
      <c r="H377" s="176"/>
      <c r="J377" s="68"/>
      <c r="K377" s="28"/>
      <c r="L377" s="28"/>
      <c r="M377" s="28"/>
      <c r="N377" s="28"/>
      <c r="O377" s="28"/>
      <c r="P377" s="29"/>
      <c r="Q377" s="54"/>
      <c r="R377" s="30"/>
    </row>
    <row r="378" spans="1:18" ht="15" hidden="1" customHeight="1" x14ac:dyDescent="0.3">
      <c r="A378" s="124">
        <v>45558</v>
      </c>
      <c r="B378" s="2"/>
      <c r="C378" s="2">
        <v>0</v>
      </c>
      <c r="D378" s="2">
        <v>170000</v>
      </c>
      <c r="E378" s="2"/>
      <c r="F378" s="2">
        <v>170000</v>
      </c>
      <c r="G378" s="2">
        <v>-170000</v>
      </c>
      <c r="H378" s="176"/>
      <c r="J378" s="68"/>
      <c r="K378" s="28"/>
      <c r="L378" s="28"/>
      <c r="M378" s="28"/>
      <c r="N378" s="28"/>
      <c r="O378" s="28"/>
      <c r="P378" s="29"/>
      <c r="Q378" s="54"/>
      <c r="R378" s="30"/>
    </row>
    <row r="379" spans="1:18" ht="15" hidden="1" customHeight="1" x14ac:dyDescent="0.3">
      <c r="A379" s="124">
        <v>45559</v>
      </c>
      <c r="B379" s="2">
        <v>162000</v>
      </c>
      <c r="C379" s="2">
        <v>162000</v>
      </c>
      <c r="D379" s="2">
        <v>110145</v>
      </c>
      <c r="E379" s="2">
        <v>113083</v>
      </c>
      <c r="F379" s="2">
        <v>223228</v>
      </c>
      <c r="G379" s="2">
        <v>-61228</v>
      </c>
      <c r="H379" s="176"/>
      <c r="J379" s="68"/>
      <c r="K379" s="28"/>
      <c r="L379" s="28"/>
      <c r="M379" s="28"/>
      <c r="N379" s="28"/>
      <c r="O379" s="28"/>
      <c r="P379" s="29"/>
      <c r="Q379" s="54"/>
      <c r="R379" s="30"/>
    </row>
    <row r="380" spans="1:18" ht="15" hidden="1" customHeight="1" x14ac:dyDescent="0.3">
      <c r="A380" s="124">
        <v>45560</v>
      </c>
      <c r="B380" s="2"/>
      <c r="C380" s="2">
        <v>0</v>
      </c>
      <c r="D380" s="2">
        <v>144135</v>
      </c>
      <c r="E380" s="2">
        <v>354618</v>
      </c>
      <c r="F380" s="2">
        <v>498753</v>
      </c>
      <c r="G380" s="2">
        <v>-498753</v>
      </c>
      <c r="H380" s="176"/>
      <c r="J380" s="68"/>
      <c r="K380" s="28"/>
      <c r="L380" s="28"/>
      <c r="M380" s="28"/>
      <c r="N380" s="28"/>
      <c r="O380" s="28"/>
      <c r="P380" s="29"/>
      <c r="Q380" s="54"/>
      <c r="R380" s="30"/>
    </row>
    <row r="381" spans="1:18" ht="15" hidden="1" customHeight="1" x14ac:dyDescent="0.3">
      <c r="A381" s="124">
        <v>45561</v>
      </c>
      <c r="B381" s="2">
        <v>1499400</v>
      </c>
      <c r="C381" s="2">
        <v>1499400</v>
      </c>
      <c r="D381" s="2">
        <v>79980</v>
      </c>
      <c r="E381" s="2">
        <v>143506</v>
      </c>
      <c r="F381" s="2">
        <v>223486</v>
      </c>
      <c r="G381" s="2">
        <v>1275914</v>
      </c>
      <c r="H381" s="198" t="s">
        <v>245</v>
      </c>
      <c r="J381" s="68"/>
      <c r="K381" s="28"/>
      <c r="L381" s="28"/>
      <c r="M381" s="28"/>
      <c r="N381" s="28"/>
      <c r="O381" s="28"/>
      <c r="P381" s="29"/>
      <c r="Q381" s="54"/>
      <c r="R381" s="30"/>
    </row>
    <row r="382" spans="1:18" ht="15" hidden="1" customHeight="1" x14ac:dyDescent="0.3">
      <c r="A382" s="124">
        <v>45562</v>
      </c>
      <c r="B382" s="2"/>
      <c r="C382" s="2">
        <v>0</v>
      </c>
      <c r="D382" s="2">
        <v>270980</v>
      </c>
      <c r="E382" s="2">
        <v>5350</v>
      </c>
      <c r="F382" s="2">
        <v>276330</v>
      </c>
      <c r="G382" s="2">
        <v>-276330</v>
      </c>
      <c r="H382" s="176"/>
      <c r="J382" s="68"/>
      <c r="K382" s="28"/>
      <c r="L382" s="28"/>
      <c r="M382" s="28"/>
      <c r="N382" s="28"/>
      <c r="O382" s="28"/>
      <c r="P382" s="29"/>
      <c r="Q382" s="54"/>
      <c r="R382" s="30"/>
    </row>
    <row r="383" spans="1:18" ht="15" hidden="1" customHeight="1" x14ac:dyDescent="0.3">
      <c r="A383" s="124">
        <v>45563</v>
      </c>
      <c r="B383" s="2"/>
      <c r="C383" s="2">
        <v>0</v>
      </c>
      <c r="D383" s="2">
        <v>24866</v>
      </c>
      <c r="E383" s="2"/>
      <c r="F383" s="2">
        <v>24866</v>
      </c>
      <c r="G383" s="2">
        <v>-24866</v>
      </c>
      <c r="H383" s="176"/>
      <c r="J383" s="68"/>
      <c r="K383" s="28"/>
      <c r="L383" s="28"/>
      <c r="M383" s="28"/>
      <c r="N383" s="28"/>
      <c r="O383" s="28"/>
      <c r="P383" s="29"/>
      <c r="Q383" s="54"/>
      <c r="R383" s="30"/>
    </row>
    <row r="384" spans="1:18" ht="15" hidden="1" customHeight="1" x14ac:dyDescent="0.3">
      <c r="A384" s="124">
        <v>45564</v>
      </c>
      <c r="B384" s="2"/>
      <c r="C384" s="2">
        <v>0</v>
      </c>
      <c r="D384" s="2"/>
      <c r="E384" s="2"/>
      <c r="F384" s="2">
        <v>0</v>
      </c>
      <c r="G384" s="2">
        <v>0</v>
      </c>
      <c r="H384" s="176"/>
      <c r="J384" s="68"/>
      <c r="K384" s="28"/>
      <c r="L384" s="28"/>
      <c r="M384" s="28"/>
      <c r="N384" s="28"/>
      <c r="O384" s="28"/>
      <c r="P384" s="29"/>
      <c r="Q384" s="54"/>
      <c r="R384" s="30"/>
    </row>
    <row r="385" spans="1:18" ht="15" hidden="1" customHeight="1" x14ac:dyDescent="0.3">
      <c r="A385" s="124">
        <v>45565</v>
      </c>
      <c r="B385" s="2"/>
      <c r="C385" s="2">
        <v>0</v>
      </c>
      <c r="D385" s="2">
        <v>19597</v>
      </c>
      <c r="E385" s="2">
        <v>52810</v>
      </c>
      <c r="F385" s="2">
        <v>72407</v>
      </c>
      <c r="G385" s="2">
        <v>-72407</v>
      </c>
      <c r="H385" s="176" t="s">
        <v>191</v>
      </c>
      <c r="J385" s="68"/>
      <c r="K385" s="28"/>
      <c r="L385" s="28"/>
      <c r="M385" s="28"/>
      <c r="N385" s="28"/>
      <c r="O385" s="28"/>
      <c r="P385" s="29"/>
      <c r="Q385" s="54"/>
      <c r="R385" s="30"/>
    </row>
    <row r="386" spans="1:18" ht="15" hidden="1" customHeight="1" x14ac:dyDescent="0.3">
      <c r="A386" s="124">
        <v>45566</v>
      </c>
      <c r="B386" s="2"/>
      <c r="C386" s="2">
        <v>0</v>
      </c>
      <c r="D386" s="2"/>
      <c r="E386" s="2"/>
      <c r="F386" s="2">
        <v>0</v>
      </c>
      <c r="G386" s="2">
        <v>0</v>
      </c>
      <c r="H386" s="176"/>
      <c r="J386" s="68"/>
      <c r="K386" s="28"/>
      <c r="L386" s="28"/>
      <c r="M386" s="28"/>
      <c r="N386" s="28"/>
      <c r="O386" s="28"/>
      <c r="P386" s="29"/>
      <c r="Q386" s="54"/>
      <c r="R386" s="30"/>
    </row>
    <row r="387" spans="1:18" ht="15" hidden="1" customHeight="1" x14ac:dyDescent="0.3">
      <c r="A387" s="34" t="s">
        <v>51</v>
      </c>
      <c r="B387" s="2">
        <v>9256585</v>
      </c>
      <c r="C387" s="2">
        <v>9256585</v>
      </c>
      <c r="D387" s="2">
        <v>2309889</v>
      </c>
      <c r="E387" s="2">
        <v>2285923</v>
      </c>
      <c r="F387" s="2">
        <v>4595812</v>
      </c>
      <c r="G387" s="2">
        <v>4660773</v>
      </c>
      <c r="H387"/>
      <c r="J387" s="68"/>
      <c r="K387" s="28"/>
      <c r="L387" s="28"/>
      <c r="M387" s="28"/>
      <c r="N387" s="28"/>
      <c r="O387" s="28"/>
      <c r="P387" s="29"/>
      <c r="Q387" s="54"/>
      <c r="R387" s="30"/>
    </row>
    <row r="388" spans="1:18" ht="15" hidden="1" customHeight="1" x14ac:dyDescent="0.3">
      <c r="A388" s="124"/>
      <c r="B388" s="2"/>
      <c r="C388" s="2"/>
      <c r="D388" s="2"/>
      <c r="E388" s="2"/>
      <c r="F388" s="2"/>
      <c r="G388" s="2"/>
      <c r="H388"/>
      <c r="J388" s="68"/>
      <c r="K388" s="28"/>
      <c r="L388" s="28"/>
      <c r="M388" s="28"/>
      <c r="N388" s="28"/>
      <c r="O388" s="28"/>
      <c r="P388" s="29"/>
      <c r="Q388" s="54"/>
      <c r="R388" s="30"/>
    </row>
    <row r="389" spans="1:18" ht="15" hidden="1" customHeight="1" x14ac:dyDescent="0.3">
      <c r="A389" s="124"/>
      <c r="B389" s="2"/>
      <c r="C389" s="2"/>
      <c r="D389" s="2"/>
      <c r="E389" s="2"/>
      <c r="F389" s="2"/>
      <c r="G389" s="2"/>
      <c r="H389"/>
      <c r="J389" s="68"/>
      <c r="K389" s="28"/>
      <c r="L389" s="28"/>
      <c r="M389" s="28"/>
      <c r="N389" s="28"/>
      <c r="O389" s="28"/>
      <c r="P389" s="29"/>
      <c r="Q389" s="54"/>
      <c r="R389" s="30"/>
    </row>
    <row r="390" spans="1:18" ht="15" hidden="1" customHeight="1" x14ac:dyDescent="0.3">
      <c r="A390" s="124"/>
      <c r="B390" s="2"/>
      <c r="C390" s="2"/>
      <c r="D390" s="2"/>
      <c r="E390" s="2"/>
      <c r="F390" s="2"/>
      <c r="G390" s="2"/>
      <c r="H390"/>
      <c r="J390" s="68"/>
      <c r="K390" s="28"/>
      <c r="L390" s="28"/>
      <c r="M390" s="28"/>
      <c r="N390" s="28"/>
      <c r="O390" s="28"/>
      <c r="P390" s="29"/>
      <c r="Q390" s="54"/>
      <c r="R390" s="30"/>
    </row>
    <row r="391" spans="1:18" ht="15" hidden="1" customHeight="1" x14ac:dyDescent="0.3">
      <c r="A391" s="124">
        <v>45505</v>
      </c>
      <c r="B391" s="2"/>
      <c r="C391" s="2">
        <v>0</v>
      </c>
      <c r="D391" s="2">
        <v>35761</v>
      </c>
      <c r="E391" s="2">
        <v>33558</v>
      </c>
      <c r="F391" s="2">
        <v>69319</v>
      </c>
      <c r="G391" s="2">
        <v>-69319</v>
      </c>
      <c r="H391"/>
      <c r="J391" s="68"/>
      <c r="K391" s="28"/>
      <c r="L391" s="28"/>
      <c r="M391" s="28"/>
      <c r="N391" s="28"/>
      <c r="O391" s="28"/>
      <c r="P391" s="29"/>
      <c r="Q391" s="54"/>
      <c r="R391" s="30"/>
    </row>
    <row r="392" spans="1:18" ht="15" hidden="1" customHeight="1" x14ac:dyDescent="0.3">
      <c r="A392" s="124">
        <v>45506</v>
      </c>
      <c r="B392" s="2">
        <v>151200</v>
      </c>
      <c r="C392" s="2">
        <v>151200</v>
      </c>
      <c r="D392" s="2">
        <v>420000</v>
      </c>
      <c r="E392" s="2">
        <v>2800.0699999999997</v>
      </c>
      <c r="F392" s="2">
        <v>422800.07</v>
      </c>
      <c r="G392" s="2">
        <v>-271600.07</v>
      </c>
      <c r="H392" s="23" t="s">
        <v>241</v>
      </c>
      <c r="J392" s="68"/>
      <c r="K392" s="28"/>
      <c r="L392" s="28"/>
      <c r="M392" s="28"/>
      <c r="N392" s="28"/>
      <c r="O392" s="28"/>
      <c r="P392" s="29"/>
      <c r="Q392" s="54"/>
      <c r="R392" s="30"/>
    </row>
    <row r="393" spans="1:18" ht="15" hidden="1" customHeight="1" x14ac:dyDescent="0.3">
      <c r="A393" s="124">
        <v>45507</v>
      </c>
      <c r="B393" s="2"/>
      <c r="C393" s="2">
        <v>0</v>
      </c>
      <c r="D393" s="2"/>
      <c r="E393" s="2">
        <v>192891</v>
      </c>
      <c r="F393" s="2">
        <v>192891</v>
      </c>
      <c r="G393" s="2">
        <v>-192891</v>
      </c>
      <c r="H393" s="23"/>
      <c r="J393" s="68"/>
      <c r="K393" s="28"/>
      <c r="L393" s="28"/>
      <c r="M393" s="28"/>
      <c r="N393" s="28"/>
      <c r="O393" s="28"/>
      <c r="P393" s="29"/>
      <c r="Q393" s="54"/>
      <c r="R393" s="30"/>
    </row>
    <row r="394" spans="1:18" ht="15" hidden="1" customHeight="1" x14ac:dyDescent="0.3">
      <c r="A394" s="124">
        <v>45508</v>
      </c>
      <c r="B394" s="2">
        <v>707500</v>
      </c>
      <c r="C394" s="2">
        <v>707500</v>
      </c>
      <c r="D394" s="2">
        <v>32990</v>
      </c>
      <c r="E394" s="2"/>
      <c r="F394" s="2">
        <v>32990</v>
      </c>
      <c r="G394" s="2">
        <v>674510</v>
      </c>
      <c r="H394" s="23"/>
      <c r="J394" s="68"/>
      <c r="K394" s="28"/>
      <c r="L394" s="28"/>
      <c r="M394" s="28"/>
      <c r="N394" s="28"/>
      <c r="O394" s="28"/>
      <c r="P394" s="29"/>
      <c r="Q394" s="54"/>
      <c r="R394" s="30"/>
    </row>
    <row r="395" spans="1:18" ht="15" hidden="1" customHeight="1" x14ac:dyDescent="0.3">
      <c r="A395" s="124">
        <v>45509</v>
      </c>
      <c r="B395" s="2">
        <v>66500</v>
      </c>
      <c r="C395" s="2">
        <v>66500</v>
      </c>
      <c r="D395" s="2"/>
      <c r="E395" s="2"/>
      <c r="F395" s="2">
        <v>0</v>
      </c>
      <c r="G395" s="2">
        <v>66500</v>
      </c>
      <c r="H395" s="23"/>
      <c r="J395" s="68"/>
      <c r="K395" s="28"/>
      <c r="L395" s="28"/>
      <c r="M395" s="28"/>
      <c r="N395" s="28"/>
      <c r="O395" s="28"/>
      <c r="P395" s="29"/>
      <c r="Q395" s="54"/>
      <c r="R395" s="30"/>
    </row>
    <row r="396" spans="1:18" ht="15" hidden="1" customHeight="1" x14ac:dyDescent="0.3">
      <c r="A396" s="124">
        <v>45510</v>
      </c>
      <c r="B396" s="2">
        <v>84500</v>
      </c>
      <c r="C396" s="2">
        <v>84500</v>
      </c>
      <c r="D396" s="2">
        <v>2139</v>
      </c>
      <c r="E396" s="2"/>
      <c r="F396" s="2">
        <v>2139</v>
      </c>
      <c r="G396" s="2">
        <v>82361</v>
      </c>
      <c r="H396" s="23"/>
      <c r="J396" s="68"/>
      <c r="K396" s="28"/>
      <c r="L396" s="28"/>
      <c r="M396" s="28"/>
      <c r="N396" s="28"/>
      <c r="O396" s="28"/>
      <c r="P396" s="29"/>
      <c r="Q396" s="54"/>
      <c r="R396" s="30"/>
    </row>
    <row r="397" spans="1:18" ht="15" hidden="1" customHeight="1" x14ac:dyDescent="0.3">
      <c r="A397" s="124">
        <v>45511</v>
      </c>
      <c r="B397" s="2"/>
      <c r="C397" s="2">
        <v>0</v>
      </c>
      <c r="D397" s="2"/>
      <c r="E397" s="2">
        <v>122178</v>
      </c>
      <c r="F397" s="2">
        <v>122178</v>
      </c>
      <c r="G397" s="2">
        <v>-122178</v>
      </c>
      <c r="H397" s="23"/>
      <c r="J397" s="68"/>
      <c r="K397" s="28"/>
      <c r="L397" s="28"/>
      <c r="M397" s="28"/>
      <c r="N397" s="28"/>
      <c r="O397" s="28"/>
      <c r="P397" s="29"/>
      <c r="Q397" s="54"/>
      <c r="R397" s="30"/>
    </row>
    <row r="398" spans="1:18" ht="15" hidden="1" customHeight="1" x14ac:dyDescent="0.3">
      <c r="A398" s="124">
        <v>45512</v>
      </c>
      <c r="B398" s="2">
        <v>108004</v>
      </c>
      <c r="C398" s="2">
        <v>108004</v>
      </c>
      <c r="D398" s="2">
        <v>29004</v>
      </c>
      <c r="E398" s="2">
        <v>37000</v>
      </c>
      <c r="F398" s="2">
        <v>66004</v>
      </c>
      <c r="G398" s="2">
        <v>42000</v>
      </c>
      <c r="H398" s="23"/>
      <c r="J398" s="68"/>
      <c r="K398" s="28"/>
      <c r="L398" s="28"/>
      <c r="M398" s="28"/>
      <c r="N398" s="28"/>
      <c r="O398" s="28"/>
      <c r="P398" s="29"/>
      <c r="Q398" s="54"/>
      <c r="R398" s="30"/>
    </row>
    <row r="399" spans="1:18" ht="15" hidden="1" customHeight="1" x14ac:dyDescent="0.3">
      <c r="A399" s="124">
        <v>45513</v>
      </c>
      <c r="B399" s="2"/>
      <c r="C399" s="2">
        <v>0</v>
      </c>
      <c r="D399" s="2">
        <v>106579</v>
      </c>
      <c r="E399" s="2">
        <v>72408</v>
      </c>
      <c r="F399" s="2">
        <v>178987</v>
      </c>
      <c r="G399" s="2">
        <v>-178987</v>
      </c>
      <c r="H399" s="23"/>
      <c r="J399" s="68"/>
      <c r="K399" s="28"/>
      <c r="L399" s="28"/>
      <c r="M399" s="28"/>
      <c r="N399" s="28"/>
      <c r="O399" s="28"/>
      <c r="P399" s="29"/>
      <c r="Q399" s="54"/>
      <c r="R399" s="30"/>
    </row>
    <row r="400" spans="1:18" ht="15" hidden="1" customHeight="1" x14ac:dyDescent="0.3">
      <c r="A400" s="124">
        <v>45514</v>
      </c>
      <c r="B400" s="2">
        <v>421600</v>
      </c>
      <c r="C400" s="2">
        <v>421600</v>
      </c>
      <c r="D400" s="2"/>
      <c r="E400" s="2"/>
      <c r="F400" s="2">
        <v>0</v>
      </c>
      <c r="G400" s="2">
        <v>421600</v>
      </c>
      <c r="H400" s="23"/>
      <c r="J400" s="68"/>
      <c r="K400" s="28"/>
      <c r="L400" s="28"/>
      <c r="M400" s="28"/>
      <c r="N400" s="28"/>
      <c r="O400" s="28"/>
      <c r="P400" s="29"/>
      <c r="Q400" s="54"/>
      <c r="R400" s="30"/>
    </row>
    <row r="401" spans="1:18" ht="15" hidden="1" customHeight="1" x14ac:dyDescent="0.3">
      <c r="A401" s="124">
        <v>45515</v>
      </c>
      <c r="B401" s="2">
        <v>42500</v>
      </c>
      <c r="C401" s="2">
        <v>42500</v>
      </c>
      <c r="D401" s="2">
        <v>24559</v>
      </c>
      <c r="E401" s="2"/>
      <c r="F401" s="2">
        <v>24559</v>
      </c>
      <c r="G401" s="2">
        <v>17941</v>
      </c>
      <c r="H401" s="23"/>
      <c r="J401" s="68"/>
      <c r="K401" s="28"/>
      <c r="L401" s="28"/>
      <c r="M401" s="28"/>
      <c r="N401" s="28"/>
      <c r="O401" s="28"/>
      <c r="P401" s="29"/>
      <c r="Q401" s="54"/>
      <c r="R401" s="30"/>
    </row>
    <row r="402" spans="1:18" ht="15" hidden="1" customHeight="1" x14ac:dyDescent="0.3">
      <c r="A402" s="124">
        <v>45516</v>
      </c>
      <c r="B402" s="2"/>
      <c r="C402" s="2">
        <v>0</v>
      </c>
      <c r="D402" s="2">
        <v>136861</v>
      </c>
      <c r="E402" s="2"/>
      <c r="F402" s="2">
        <v>136861</v>
      </c>
      <c r="G402" s="2">
        <v>-136861</v>
      </c>
      <c r="H402" s="23"/>
      <c r="J402" s="68"/>
      <c r="K402" s="28"/>
      <c r="L402" s="28"/>
      <c r="M402" s="28"/>
      <c r="N402" s="28"/>
      <c r="O402" s="28"/>
      <c r="P402" s="29"/>
      <c r="Q402" s="54"/>
      <c r="R402" s="30"/>
    </row>
    <row r="403" spans="1:18" ht="15" hidden="1" customHeight="1" x14ac:dyDescent="0.3">
      <c r="A403" s="124">
        <v>45517</v>
      </c>
      <c r="B403" s="2"/>
      <c r="C403" s="2">
        <v>0</v>
      </c>
      <c r="D403" s="2">
        <v>183917</v>
      </c>
      <c r="E403" s="2">
        <v>52446</v>
      </c>
      <c r="F403" s="2">
        <v>236363</v>
      </c>
      <c r="G403" s="2">
        <v>-236363</v>
      </c>
      <c r="H403" s="23"/>
      <c r="J403" s="68"/>
      <c r="K403" s="28"/>
      <c r="L403" s="28"/>
      <c r="M403" s="28"/>
      <c r="N403" s="28"/>
      <c r="O403" s="28"/>
      <c r="P403" s="29"/>
      <c r="Q403" s="54"/>
      <c r="R403" s="30"/>
    </row>
    <row r="404" spans="1:18" ht="15" hidden="1" customHeight="1" x14ac:dyDescent="0.3">
      <c r="A404" s="124">
        <v>45518</v>
      </c>
      <c r="B404" s="2"/>
      <c r="C404" s="2">
        <v>0</v>
      </c>
      <c r="D404" s="2">
        <v>17222</v>
      </c>
      <c r="E404" s="2">
        <v>331593</v>
      </c>
      <c r="F404" s="2">
        <v>348815</v>
      </c>
      <c r="G404" s="2">
        <v>-348815</v>
      </c>
      <c r="H404" s="23"/>
      <c r="J404" s="68"/>
      <c r="K404" s="28"/>
      <c r="L404" s="28"/>
      <c r="M404" s="28"/>
      <c r="N404" s="28"/>
      <c r="O404" s="28"/>
      <c r="P404" s="29"/>
      <c r="Q404" s="54"/>
      <c r="R404" s="30"/>
    </row>
    <row r="405" spans="1:18" ht="15" hidden="1" customHeight="1" x14ac:dyDescent="0.3">
      <c r="A405" s="124">
        <v>45519</v>
      </c>
      <c r="B405" s="2">
        <v>50000</v>
      </c>
      <c r="C405" s="2">
        <v>50000</v>
      </c>
      <c r="D405" s="2"/>
      <c r="E405" s="2"/>
      <c r="F405" s="2">
        <v>0</v>
      </c>
      <c r="G405" s="2">
        <v>50000</v>
      </c>
      <c r="H405" s="23"/>
      <c r="J405" s="68"/>
      <c r="K405" s="28"/>
      <c r="L405" s="28"/>
      <c r="M405" s="28"/>
      <c r="N405" s="28"/>
      <c r="O405" s="28"/>
      <c r="P405" s="29"/>
      <c r="Q405" s="54"/>
      <c r="R405" s="30"/>
    </row>
    <row r="406" spans="1:18" ht="15" hidden="1" customHeight="1" x14ac:dyDescent="0.3">
      <c r="A406" s="124">
        <v>45520</v>
      </c>
      <c r="B406" s="2"/>
      <c r="C406" s="2">
        <v>0</v>
      </c>
      <c r="D406" s="2">
        <v>451009</v>
      </c>
      <c r="E406" s="2">
        <v>18786</v>
      </c>
      <c r="F406" s="2">
        <v>469795</v>
      </c>
      <c r="G406" s="2">
        <v>-469795</v>
      </c>
      <c r="H406" s="56"/>
      <c r="J406" s="68"/>
      <c r="K406" s="28"/>
      <c r="L406" s="28"/>
      <c r="M406" s="28"/>
      <c r="N406" s="28"/>
      <c r="O406" s="28"/>
      <c r="P406" s="29"/>
      <c r="Q406" s="54"/>
      <c r="R406" s="30"/>
    </row>
    <row r="407" spans="1:18" ht="15" hidden="1" customHeight="1" x14ac:dyDescent="0.3">
      <c r="A407" s="124">
        <v>45521</v>
      </c>
      <c r="B407" s="2">
        <v>140400</v>
      </c>
      <c r="C407" s="2">
        <v>140400</v>
      </c>
      <c r="D407" s="2">
        <v>68774</v>
      </c>
      <c r="E407" s="2"/>
      <c r="F407" s="2">
        <v>68774</v>
      </c>
      <c r="G407" s="2">
        <v>71626</v>
      </c>
      <c r="H407" s="23"/>
      <c r="J407" s="68"/>
      <c r="K407" s="28"/>
      <c r="L407" s="28"/>
      <c r="M407" s="28"/>
      <c r="N407" s="28"/>
      <c r="O407" s="28"/>
      <c r="P407" s="29"/>
      <c r="Q407" s="54"/>
      <c r="R407" s="30"/>
    </row>
    <row r="408" spans="1:18" ht="15" hidden="1" customHeight="1" x14ac:dyDescent="0.3">
      <c r="A408" s="124">
        <v>45522</v>
      </c>
      <c r="B408" s="2">
        <v>27600</v>
      </c>
      <c r="C408" s="2">
        <v>27600</v>
      </c>
      <c r="D408" s="2">
        <v>145969</v>
      </c>
      <c r="E408" s="2">
        <v>76388</v>
      </c>
      <c r="F408" s="2">
        <v>222357</v>
      </c>
      <c r="G408" s="2">
        <v>-194757</v>
      </c>
      <c r="H408" s="23"/>
      <c r="J408" s="68"/>
      <c r="K408" s="28"/>
      <c r="L408" s="28"/>
      <c r="M408" s="28"/>
      <c r="N408" s="28"/>
      <c r="O408" s="28"/>
      <c r="P408" s="29"/>
      <c r="Q408" s="54"/>
      <c r="R408" s="30"/>
    </row>
    <row r="409" spans="1:18" ht="15" hidden="1" customHeight="1" x14ac:dyDescent="0.3">
      <c r="A409" s="124">
        <v>45523</v>
      </c>
      <c r="B409" s="2"/>
      <c r="C409" s="2">
        <v>0</v>
      </c>
      <c r="D409" s="2"/>
      <c r="E409" s="2"/>
      <c r="F409" s="2">
        <v>0</v>
      </c>
      <c r="G409" s="2">
        <v>0</v>
      </c>
      <c r="H409" s="23"/>
      <c r="J409" s="68"/>
      <c r="K409" s="28"/>
      <c r="L409" s="28"/>
      <c r="M409" s="28"/>
      <c r="N409" s="28"/>
      <c r="O409" s="28"/>
      <c r="P409" s="29"/>
      <c r="Q409" s="54"/>
      <c r="R409" s="30"/>
    </row>
    <row r="410" spans="1:18" ht="15" hidden="1" customHeight="1" x14ac:dyDescent="0.3">
      <c r="A410" s="124">
        <v>45524</v>
      </c>
      <c r="B410" s="2"/>
      <c r="C410" s="2">
        <v>0</v>
      </c>
      <c r="D410" s="2">
        <v>145723</v>
      </c>
      <c r="E410" s="2">
        <v>9400</v>
      </c>
      <c r="F410" s="2">
        <v>155123</v>
      </c>
      <c r="G410" s="2">
        <v>-155123</v>
      </c>
      <c r="H410" s="23"/>
      <c r="J410" s="68"/>
      <c r="K410" s="28"/>
      <c r="L410" s="28"/>
      <c r="M410" s="28"/>
      <c r="N410" s="28"/>
      <c r="O410" s="28"/>
      <c r="P410" s="29"/>
      <c r="Q410" s="54"/>
      <c r="R410" s="30"/>
    </row>
    <row r="411" spans="1:18" ht="15" hidden="1" customHeight="1" x14ac:dyDescent="0.3">
      <c r="A411" s="124">
        <v>45525</v>
      </c>
      <c r="B411" s="2">
        <v>904388</v>
      </c>
      <c r="C411" s="2">
        <v>904388</v>
      </c>
      <c r="D411" s="2">
        <v>101186</v>
      </c>
      <c r="E411" s="2"/>
      <c r="F411" s="2">
        <v>101186</v>
      </c>
      <c r="G411" s="2">
        <v>803202</v>
      </c>
      <c r="H411" s="23"/>
      <c r="J411" s="68"/>
      <c r="K411" s="28"/>
      <c r="L411" s="28"/>
      <c r="M411" s="28"/>
      <c r="N411" s="28"/>
      <c r="O411" s="28"/>
      <c r="P411" s="29"/>
      <c r="Q411" s="54"/>
      <c r="R411" s="30"/>
    </row>
    <row r="412" spans="1:18" ht="15" hidden="1" customHeight="1" x14ac:dyDescent="0.3">
      <c r="A412" s="124">
        <v>45526</v>
      </c>
      <c r="B412" s="2"/>
      <c r="C412" s="2">
        <v>0</v>
      </c>
      <c r="D412" s="2">
        <v>19850</v>
      </c>
      <c r="E412" s="2"/>
      <c r="F412" s="2">
        <v>19850</v>
      </c>
      <c r="G412" s="2">
        <v>-19850</v>
      </c>
      <c r="H412" s="23" t="s">
        <v>186</v>
      </c>
      <c r="J412" s="68"/>
      <c r="K412" s="28"/>
      <c r="L412" s="28"/>
      <c r="M412" s="28"/>
      <c r="N412" s="28"/>
      <c r="O412" s="28"/>
      <c r="P412" s="29"/>
      <c r="Q412" s="54"/>
      <c r="R412" s="30"/>
    </row>
    <row r="413" spans="1:18" ht="15" hidden="1" customHeight="1" x14ac:dyDescent="0.3">
      <c r="A413" s="124">
        <v>45527</v>
      </c>
      <c r="B413" s="2"/>
      <c r="C413" s="2">
        <v>0</v>
      </c>
      <c r="D413" s="2">
        <v>5000</v>
      </c>
      <c r="E413" s="2">
        <v>31500</v>
      </c>
      <c r="F413" s="2">
        <v>36500</v>
      </c>
      <c r="G413" s="2">
        <v>-36500</v>
      </c>
      <c r="H413" s="23"/>
      <c r="J413" s="68"/>
      <c r="K413" s="28"/>
      <c r="L413" s="28"/>
      <c r="M413" s="28"/>
      <c r="N413" s="28"/>
      <c r="O413" s="28"/>
      <c r="P413" s="29"/>
      <c r="Q413" s="54"/>
      <c r="R413" s="30"/>
    </row>
    <row r="414" spans="1:18" ht="15" hidden="1" customHeight="1" x14ac:dyDescent="0.3">
      <c r="A414" s="124">
        <v>45528</v>
      </c>
      <c r="B414" s="2">
        <v>257200</v>
      </c>
      <c r="C414" s="2">
        <v>257200</v>
      </c>
      <c r="D414" s="2"/>
      <c r="E414" s="2">
        <v>114007</v>
      </c>
      <c r="F414" s="2">
        <v>114007</v>
      </c>
      <c r="G414" s="2">
        <v>143193</v>
      </c>
      <c r="H414" s="23"/>
      <c r="J414" s="68"/>
      <c r="K414" s="28"/>
      <c r="L414" s="28"/>
      <c r="M414" s="28"/>
      <c r="N414" s="28"/>
      <c r="O414" s="28"/>
      <c r="P414" s="29"/>
      <c r="Q414" s="54"/>
      <c r="R414" s="30"/>
    </row>
    <row r="415" spans="1:18" ht="15" hidden="1" customHeight="1" x14ac:dyDescent="0.3">
      <c r="A415" s="124">
        <v>45529</v>
      </c>
      <c r="B415" s="2"/>
      <c r="C415" s="2">
        <v>0</v>
      </c>
      <c r="D415" s="2"/>
      <c r="E415" s="2"/>
      <c r="F415" s="2">
        <v>0</v>
      </c>
      <c r="G415" s="2">
        <v>0</v>
      </c>
      <c r="H415" s="23"/>
      <c r="J415" s="68"/>
      <c r="K415" s="28"/>
      <c r="L415" s="28"/>
      <c r="M415" s="28"/>
      <c r="N415" s="28"/>
      <c r="O415" s="28"/>
      <c r="P415" s="29"/>
      <c r="Q415" s="54"/>
      <c r="R415" s="30"/>
    </row>
    <row r="416" spans="1:18" ht="15" hidden="1" customHeight="1" x14ac:dyDescent="0.3">
      <c r="A416" s="124">
        <v>45530</v>
      </c>
      <c r="B416" s="2"/>
      <c r="C416" s="2">
        <v>0</v>
      </c>
      <c r="D416" s="2">
        <v>27734</v>
      </c>
      <c r="E416" s="2">
        <v>186560</v>
      </c>
      <c r="F416" s="2">
        <v>214294</v>
      </c>
      <c r="G416" s="2">
        <v>-214294</v>
      </c>
      <c r="H416" s="23"/>
      <c r="J416" s="68"/>
      <c r="K416" s="28"/>
      <c r="L416" s="28"/>
      <c r="M416" s="28"/>
      <c r="N416" s="28"/>
      <c r="O416" s="28"/>
      <c r="P416" s="29"/>
      <c r="Q416" s="54"/>
      <c r="R416" s="30"/>
    </row>
    <row r="417" spans="1:18" ht="15" hidden="1" customHeight="1" x14ac:dyDescent="0.3">
      <c r="A417" s="124">
        <v>45531</v>
      </c>
      <c r="B417" s="2">
        <v>334080</v>
      </c>
      <c r="C417" s="2">
        <v>334080</v>
      </c>
      <c r="D417" s="2">
        <v>48500</v>
      </c>
      <c r="E417" s="2">
        <v>6978</v>
      </c>
      <c r="F417" s="2">
        <v>55478</v>
      </c>
      <c r="G417" s="2">
        <v>278602</v>
      </c>
      <c r="H417" s="23"/>
      <c r="J417" s="68"/>
      <c r="K417" s="28"/>
      <c r="L417" s="28"/>
      <c r="M417" s="28"/>
      <c r="N417" s="28"/>
      <c r="O417" s="28"/>
      <c r="P417" s="29"/>
      <c r="Q417" s="54"/>
      <c r="R417" s="30"/>
    </row>
    <row r="418" spans="1:18" ht="15" hidden="1" customHeight="1" x14ac:dyDescent="0.3">
      <c r="A418" s="124">
        <v>45532</v>
      </c>
      <c r="B418" s="2">
        <v>918800.11</v>
      </c>
      <c r="C418" s="2">
        <v>918800.11</v>
      </c>
      <c r="D418" s="2">
        <v>120000</v>
      </c>
      <c r="E418" s="2">
        <v>48134</v>
      </c>
      <c r="F418" s="2">
        <v>168134</v>
      </c>
      <c r="G418" s="2">
        <v>750666.11</v>
      </c>
      <c r="H418" s="23"/>
      <c r="J418" s="68"/>
      <c r="K418" s="28"/>
      <c r="L418" s="28"/>
      <c r="M418" s="28"/>
      <c r="N418" s="28"/>
      <c r="O418" s="28"/>
      <c r="P418" s="29"/>
      <c r="Q418" s="54"/>
      <c r="R418" s="30"/>
    </row>
    <row r="419" spans="1:18" ht="15" hidden="1" customHeight="1" x14ac:dyDescent="0.3">
      <c r="A419" s="124">
        <v>45533</v>
      </c>
      <c r="B419" s="2"/>
      <c r="C419" s="2">
        <v>0</v>
      </c>
      <c r="D419" s="2">
        <v>254747</v>
      </c>
      <c r="E419" s="2"/>
      <c r="F419" s="2">
        <v>254747</v>
      </c>
      <c r="G419" s="2">
        <v>-254747</v>
      </c>
      <c r="H419" s="23"/>
      <c r="J419" s="68"/>
      <c r="K419" s="28"/>
      <c r="L419" s="28"/>
      <c r="M419" s="28"/>
      <c r="N419" s="28"/>
      <c r="O419" s="28"/>
      <c r="P419" s="29"/>
      <c r="Q419" s="54"/>
      <c r="R419" s="30"/>
    </row>
    <row r="420" spans="1:18" ht="15" hidden="1" customHeight="1" x14ac:dyDescent="0.3">
      <c r="A420" s="124">
        <v>45534</v>
      </c>
      <c r="B420" s="2"/>
      <c r="C420" s="2">
        <v>0</v>
      </c>
      <c r="D420" s="2">
        <v>31850</v>
      </c>
      <c r="E420" s="2">
        <v>185450</v>
      </c>
      <c r="F420" s="2">
        <v>217300</v>
      </c>
      <c r="G420" s="2">
        <v>-217300</v>
      </c>
      <c r="H420" s="23"/>
      <c r="J420" s="68"/>
      <c r="K420" s="28"/>
      <c r="L420" s="28"/>
      <c r="M420" s="28"/>
      <c r="N420" s="28"/>
      <c r="O420" s="28"/>
      <c r="P420" s="29"/>
      <c r="Q420" s="54"/>
      <c r="R420" s="30"/>
    </row>
    <row r="421" spans="1:18" ht="15" hidden="1" customHeight="1" x14ac:dyDescent="0.3">
      <c r="A421" s="124">
        <v>45535</v>
      </c>
      <c r="B421" s="2">
        <v>60000</v>
      </c>
      <c r="C421" s="2">
        <v>60000</v>
      </c>
      <c r="D421" s="2"/>
      <c r="E421" s="2">
        <v>30000</v>
      </c>
      <c r="F421" s="2">
        <v>30000</v>
      </c>
      <c r="G421" s="2">
        <v>30000</v>
      </c>
      <c r="H421" s="197" t="s">
        <v>242</v>
      </c>
      <c r="J421" s="68"/>
      <c r="K421" s="28"/>
      <c r="L421" s="28"/>
      <c r="M421" s="28"/>
      <c r="N421" s="28"/>
      <c r="O421" s="28"/>
      <c r="P421" s="29"/>
      <c r="Q421" s="54"/>
      <c r="R421" s="30"/>
    </row>
    <row r="422" spans="1:18" ht="15" hidden="1" customHeight="1" x14ac:dyDescent="0.3">
      <c r="A422" s="34" t="s">
        <v>49</v>
      </c>
      <c r="B422" s="2">
        <v>4274272.1100000003</v>
      </c>
      <c r="C422" s="2">
        <v>4274272.1100000003</v>
      </c>
      <c r="D422" s="2">
        <v>2409374</v>
      </c>
      <c r="E422" s="2">
        <v>1552077.07</v>
      </c>
      <c r="F422" s="2">
        <v>3961451.0700000003</v>
      </c>
      <c r="G422" s="2">
        <v>312821.04000000004</v>
      </c>
      <c r="H422"/>
      <c r="J422" s="68"/>
      <c r="K422" s="28"/>
      <c r="L422" s="28"/>
      <c r="M422" s="28"/>
      <c r="N422" s="28"/>
      <c r="O422" s="28"/>
      <c r="P422" s="29"/>
      <c r="Q422" s="54"/>
      <c r="R422" s="30"/>
    </row>
    <row r="423" spans="1:18" ht="15" hidden="1" customHeight="1" x14ac:dyDescent="0.3">
      <c r="A423" s="124"/>
      <c r="B423" s="2"/>
      <c r="C423" s="2"/>
      <c r="D423" s="2"/>
      <c r="E423" s="2"/>
      <c r="F423" s="2"/>
      <c r="G423" s="2"/>
      <c r="H423"/>
      <c r="J423" s="68"/>
      <c r="K423" s="28"/>
      <c r="L423" s="28"/>
      <c r="M423" s="28"/>
      <c r="N423" s="28"/>
      <c r="O423" s="28"/>
      <c r="P423" s="29"/>
      <c r="Q423" s="54"/>
      <c r="R423" s="30"/>
    </row>
    <row r="424" spans="1:18" ht="15" hidden="1" customHeight="1" x14ac:dyDescent="0.3">
      <c r="A424" s="124"/>
      <c r="B424" s="2"/>
      <c r="C424" s="2"/>
      <c r="D424" s="2"/>
      <c r="E424" s="2"/>
      <c r="F424" s="2"/>
      <c r="G424" s="2"/>
      <c r="H424"/>
      <c r="J424" s="68"/>
      <c r="K424" s="28"/>
      <c r="L424" s="28"/>
      <c r="M424" s="28"/>
      <c r="N424" s="28"/>
      <c r="O424" s="28"/>
      <c r="P424" s="29"/>
      <c r="Q424" s="54"/>
      <c r="R424" s="30"/>
    </row>
    <row r="425" spans="1:18" ht="15" hidden="1" customHeight="1" x14ac:dyDescent="0.3">
      <c r="A425" s="124"/>
      <c r="B425" s="2"/>
      <c r="C425" s="2"/>
      <c r="D425" s="2"/>
      <c r="E425" s="2"/>
      <c r="F425" s="2"/>
      <c r="G425" s="2"/>
      <c r="H425"/>
      <c r="J425" s="68"/>
      <c r="K425" s="28"/>
      <c r="L425" s="28"/>
      <c r="M425" s="28"/>
      <c r="N425" s="28"/>
      <c r="O425" s="28"/>
      <c r="P425" s="29"/>
      <c r="Q425" s="54"/>
      <c r="R425" s="30"/>
    </row>
    <row r="426" spans="1:18" ht="15" hidden="1" customHeight="1" x14ac:dyDescent="0.3">
      <c r="A426" s="124">
        <v>45474</v>
      </c>
      <c r="B426" s="2"/>
      <c r="C426" s="2">
        <v>0</v>
      </c>
      <c r="D426" s="2"/>
      <c r="E426" s="2">
        <v>15770</v>
      </c>
      <c r="F426" s="2">
        <v>15770</v>
      </c>
      <c r="G426" s="2">
        <v>-15770</v>
      </c>
      <c r="H426" s="23"/>
      <c r="J426" s="68"/>
      <c r="K426" s="28"/>
      <c r="L426" s="28"/>
      <c r="M426" s="28"/>
      <c r="N426" s="28"/>
      <c r="O426" s="28"/>
      <c r="P426" s="29"/>
      <c r="Q426" s="54"/>
      <c r="R426" s="30"/>
    </row>
    <row r="427" spans="1:18" ht="15" hidden="1" customHeight="1" x14ac:dyDescent="0.3">
      <c r="A427" s="124">
        <v>45475</v>
      </c>
      <c r="B427" s="2">
        <v>16800</v>
      </c>
      <c r="C427" s="2">
        <v>16800</v>
      </c>
      <c r="D427" s="2"/>
      <c r="E427" s="2">
        <v>41270</v>
      </c>
      <c r="F427" s="2">
        <v>41270</v>
      </c>
      <c r="G427" s="2">
        <v>-24470</v>
      </c>
      <c r="H427" s="23"/>
      <c r="J427" s="68"/>
      <c r="K427" s="28"/>
      <c r="L427" s="28"/>
      <c r="M427" s="28"/>
      <c r="N427" s="28"/>
      <c r="O427" s="28"/>
      <c r="P427" s="29"/>
      <c r="Q427" s="54"/>
      <c r="R427" s="30"/>
    </row>
    <row r="428" spans="1:18" ht="15" hidden="1" customHeight="1" x14ac:dyDescent="0.3">
      <c r="A428" s="124">
        <v>45476</v>
      </c>
      <c r="B428" s="2"/>
      <c r="C428" s="2">
        <v>0</v>
      </c>
      <c r="D428" s="2"/>
      <c r="E428" s="2"/>
      <c r="F428" s="2">
        <v>0</v>
      </c>
      <c r="G428" s="2">
        <v>0</v>
      </c>
      <c r="H428" s="23"/>
      <c r="J428" s="68"/>
      <c r="K428" s="28"/>
      <c r="L428" s="28"/>
      <c r="M428" s="28"/>
      <c r="N428" s="28"/>
      <c r="O428" s="28"/>
      <c r="P428" s="29"/>
      <c r="Q428" s="54"/>
      <c r="R428" s="30"/>
    </row>
    <row r="429" spans="1:18" ht="15" hidden="1" customHeight="1" x14ac:dyDescent="0.3">
      <c r="A429" s="124">
        <v>45477</v>
      </c>
      <c r="B429" s="2"/>
      <c r="C429" s="2">
        <v>0</v>
      </c>
      <c r="D429" s="2"/>
      <c r="E429" s="2"/>
      <c r="F429" s="2">
        <v>0</v>
      </c>
      <c r="G429" s="2">
        <v>0</v>
      </c>
      <c r="H429" s="23"/>
      <c r="J429" s="68"/>
      <c r="K429" s="28"/>
      <c r="L429" s="28"/>
      <c r="M429" s="28"/>
      <c r="N429" s="28"/>
      <c r="O429" s="28"/>
      <c r="P429" s="29"/>
      <c r="Q429" s="54"/>
      <c r="R429" s="30"/>
    </row>
    <row r="430" spans="1:18" ht="15" hidden="1" customHeight="1" x14ac:dyDescent="0.3">
      <c r="A430" s="124">
        <v>45478</v>
      </c>
      <c r="B430" s="2">
        <v>30000</v>
      </c>
      <c r="C430" s="2">
        <v>30000</v>
      </c>
      <c r="D430" s="2">
        <v>25955</v>
      </c>
      <c r="E430" s="2">
        <v>300000</v>
      </c>
      <c r="F430" s="2">
        <v>325955</v>
      </c>
      <c r="G430" s="2">
        <v>-295955</v>
      </c>
      <c r="H430" s="23" t="s">
        <v>236</v>
      </c>
      <c r="J430" s="68"/>
      <c r="K430" s="28"/>
      <c r="L430" s="28"/>
      <c r="M430" s="28"/>
      <c r="N430" s="28"/>
      <c r="O430" s="28"/>
      <c r="P430" s="29"/>
      <c r="Q430" s="54"/>
      <c r="R430" s="30"/>
    </row>
    <row r="431" spans="1:18" ht="15" hidden="1" customHeight="1" x14ac:dyDescent="0.3">
      <c r="A431" s="124">
        <v>45479</v>
      </c>
      <c r="B431" s="2"/>
      <c r="C431" s="2">
        <v>0</v>
      </c>
      <c r="D431" s="2"/>
      <c r="E431" s="2"/>
      <c r="F431" s="2">
        <v>0</v>
      </c>
      <c r="G431" s="2">
        <v>0</v>
      </c>
      <c r="H431" s="23"/>
      <c r="J431" s="68"/>
      <c r="K431" s="28"/>
      <c r="L431" s="28"/>
      <c r="M431" s="28"/>
      <c r="N431" s="28"/>
      <c r="O431" s="28"/>
      <c r="P431" s="29"/>
      <c r="Q431" s="54"/>
      <c r="R431" s="30"/>
    </row>
    <row r="432" spans="1:18" ht="15" hidden="1" customHeight="1" x14ac:dyDescent="0.3">
      <c r="A432" s="124">
        <v>45480</v>
      </c>
      <c r="B432" s="2"/>
      <c r="C432" s="2">
        <v>0</v>
      </c>
      <c r="D432" s="2"/>
      <c r="E432" s="2"/>
      <c r="F432" s="2">
        <v>0</v>
      </c>
      <c r="G432" s="2">
        <v>0</v>
      </c>
      <c r="H432" s="23"/>
      <c r="J432" s="68"/>
      <c r="K432" s="28"/>
      <c r="L432" s="28"/>
      <c r="M432" s="28"/>
      <c r="N432" s="28"/>
      <c r="O432" s="28"/>
      <c r="P432" s="29"/>
      <c r="Q432" s="54"/>
      <c r="R432" s="30"/>
    </row>
    <row r="433" spans="1:18" ht="15" hidden="1" customHeight="1" x14ac:dyDescent="0.3">
      <c r="A433" s="124">
        <v>45481</v>
      </c>
      <c r="B433" s="2"/>
      <c r="C433" s="2">
        <v>0</v>
      </c>
      <c r="D433" s="2"/>
      <c r="E433" s="2"/>
      <c r="F433" s="2">
        <v>0</v>
      </c>
      <c r="G433" s="2">
        <v>0</v>
      </c>
      <c r="H433" s="23"/>
      <c r="J433" s="68"/>
      <c r="K433" s="28"/>
      <c r="L433" s="28"/>
      <c r="M433" s="28"/>
      <c r="N433" s="28"/>
      <c r="O433" s="28"/>
      <c r="P433" s="29"/>
      <c r="Q433" s="54"/>
      <c r="R433" s="30"/>
    </row>
    <row r="434" spans="1:18" ht="15" hidden="1" customHeight="1" x14ac:dyDescent="0.3">
      <c r="A434" s="124">
        <v>45482</v>
      </c>
      <c r="B434" s="2">
        <v>121500</v>
      </c>
      <c r="C434" s="2">
        <v>121500</v>
      </c>
      <c r="D434" s="2"/>
      <c r="E434" s="2">
        <v>57855</v>
      </c>
      <c r="F434" s="2">
        <v>57855</v>
      </c>
      <c r="G434" s="2">
        <v>63645</v>
      </c>
      <c r="H434" s="23"/>
      <c r="J434" s="68"/>
      <c r="K434" s="28"/>
      <c r="L434" s="28"/>
      <c r="M434" s="28"/>
      <c r="N434" s="28"/>
      <c r="O434" s="28"/>
      <c r="P434" s="29"/>
      <c r="Q434" s="54"/>
      <c r="R434" s="30"/>
    </row>
    <row r="435" spans="1:18" ht="15" hidden="1" customHeight="1" x14ac:dyDescent="0.3">
      <c r="A435" s="124">
        <v>45483</v>
      </c>
      <c r="B435" s="2"/>
      <c r="C435" s="2">
        <v>0</v>
      </c>
      <c r="D435" s="2">
        <v>57350</v>
      </c>
      <c r="E435" s="2"/>
      <c r="F435" s="2">
        <v>57350</v>
      </c>
      <c r="G435" s="2">
        <v>-57350</v>
      </c>
      <c r="H435" s="127" t="s">
        <v>237</v>
      </c>
      <c r="J435" s="68"/>
      <c r="K435" s="28"/>
      <c r="L435" s="28"/>
      <c r="M435" s="28"/>
      <c r="N435" s="28"/>
      <c r="O435" s="28"/>
      <c r="P435" s="29"/>
      <c r="Q435" s="54"/>
      <c r="R435" s="30"/>
    </row>
    <row r="436" spans="1:18" ht="15" hidden="1" customHeight="1" x14ac:dyDescent="0.3">
      <c r="A436" s="124">
        <v>45484</v>
      </c>
      <c r="B436" s="2"/>
      <c r="C436" s="2">
        <v>0</v>
      </c>
      <c r="D436" s="2">
        <v>69341</v>
      </c>
      <c r="E436" s="2">
        <v>90024</v>
      </c>
      <c r="F436" s="2">
        <v>159365</v>
      </c>
      <c r="G436" s="2">
        <v>-159365</v>
      </c>
      <c r="H436" s="23"/>
      <c r="J436" s="68"/>
      <c r="K436" s="28"/>
      <c r="L436" s="28"/>
      <c r="M436" s="28"/>
      <c r="N436" s="28"/>
      <c r="O436" s="28"/>
      <c r="P436" s="29"/>
      <c r="Q436" s="54"/>
      <c r="R436" s="30"/>
    </row>
    <row r="437" spans="1:18" ht="15" hidden="1" customHeight="1" x14ac:dyDescent="0.3">
      <c r="A437" s="124">
        <v>45485</v>
      </c>
      <c r="B437" s="2">
        <v>253900</v>
      </c>
      <c r="C437" s="2">
        <v>253900</v>
      </c>
      <c r="D437" s="2"/>
      <c r="E437" s="2">
        <v>245376</v>
      </c>
      <c r="F437" s="2">
        <v>245376</v>
      </c>
      <c r="G437" s="2">
        <v>8524</v>
      </c>
      <c r="H437" s="23" t="s">
        <v>238</v>
      </c>
      <c r="J437" s="68"/>
      <c r="K437" s="28"/>
      <c r="L437" s="28"/>
      <c r="M437" s="28"/>
      <c r="N437" s="28"/>
      <c r="O437" s="28"/>
      <c r="P437" s="29"/>
      <c r="Q437" s="54"/>
      <c r="R437" s="30"/>
    </row>
    <row r="438" spans="1:18" ht="15" hidden="1" customHeight="1" x14ac:dyDescent="0.3">
      <c r="A438" s="124">
        <v>45486</v>
      </c>
      <c r="B438" s="2">
        <v>574500</v>
      </c>
      <c r="C438" s="2">
        <v>574500</v>
      </c>
      <c r="D438" s="2">
        <v>10990</v>
      </c>
      <c r="E438" s="2">
        <v>46958</v>
      </c>
      <c r="F438" s="2">
        <v>57948</v>
      </c>
      <c r="G438" s="2">
        <v>516552</v>
      </c>
      <c r="H438" s="23"/>
      <c r="J438" s="68"/>
      <c r="K438" s="28"/>
      <c r="L438" s="28"/>
      <c r="M438" s="28"/>
      <c r="N438" s="28"/>
      <c r="O438" s="28"/>
      <c r="P438" s="29"/>
      <c r="Q438" s="54"/>
      <c r="R438" s="30"/>
    </row>
    <row r="439" spans="1:18" ht="15" hidden="1" customHeight="1" x14ac:dyDescent="0.3">
      <c r="A439" s="124">
        <v>45487</v>
      </c>
      <c r="B439" s="2"/>
      <c r="C439" s="2">
        <v>0</v>
      </c>
      <c r="D439" s="2">
        <v>34382</v>
      </c>
      <c r="E439" s="2"/>
      <c r="F439" s="2">
        <v>34382</v>
      </c>
      <c r="G439" s="2">
        <v>-34382</v>
      </c>
      <c r="H439" s="23"/>
      <c r="J439" s="68"/>
      <c r="K439" s="28"/>
      <c r="L439" s="28"/>
      <c r="M439" s="28"/>
      <c r="N439" s="28"/>
      <c r="O439" s="28"/>
      <c r="P439" s="29"/>
      <c r="Q439" s="54"/>
      <c r="R439" s="30"/>
    </row>
    <row r="440" spans="1:18" ht="15" hidden="1" customHeight="1" x14ac:dyDescent="0.3">
      <c r="A440" s="124">
        <v>45488</v>
      </c>
      <c r="B440" s="2"/>
      <c r="C440" s="2">
        <v>0</v>
      </c>
      <c r="D440" s="2"/>
      <c r="E440" s="2"/>
      <c r="F440" s="2">
        <v>0</v>
      </c>
      <c r="G440" s="2">
        <v>0</v>
      </c>
      <c r="H440" s="23"/>
      <c r="J440" s="68"/>
      <c r="K440" s="28"/>
      <c r="L440" s="28"/>
      <c r="M440" s="28"/>
      <c r="N440" s="28"/>
      <c r="O440" s="28"/>
      <c r="P440" s="29"/>
      <c r="Q440" s="54"/>
      <c r="R440" s="30"/>
    </row>
    <row r="441" spans="1:18" ht="15" hidden="1" customHeight="1" x14ac:dyDescent="0.3">
      <c r="A441" s="124">
        <v>45489</v>
      </c>
      <c r="B441" s="2"/>
      <c r="C441" s="2">
        <v>0</v>
      </c>
      <c r="D441" s="2">
        <v>29961</v>
      </c>
      <c r="E441" s="2"/>
      <c r="F441" s="2">
        <v>29961</v>
      </c>
      <c r="G441" s="2">
        <v>-29961</v>
      </c>
      <c r="H441" s="56"/>
      <c r="J441" s="68"/>
      <c r="K441" s="28"/>
      <c r="L441" s="28"/>
      <c r="M441" s="28"/>
      <c r="N441" s="28"/>
      <c r="O441" s="28"/>
      <c r="P441" s="29"/>
      <c r="Q441" s="54"/>
      <c r="R441" s="30"/>
    </row>
    <row r="442" spans="1:18" ht="15" hidden="1" customHeight="1" x14ac:dyDescent="0.3">
      <c r="A442" s="124">
        <v>45490</v>
      </c>
      <c r="B442" s="2"/>
      <c r="C442" s="2">
        <v>0</v>
      </c>
      <c r="D442" s="2"/>
      <c r="E442" s="2">
        <v>115406</v>
      </c>
      <c r="F442" s="2">
        <v>115406</v>
      </c>
      <c r="G442" s="2">
        <v>-115406</v>
      </c>
      <c r="H442" s="23"/>
      <c r="J442" s="68"/>
      <c r="K442" s="28"/>
      <c r="L442" s="28"/>
      <c r="M442" s="28"/>
      <c r="N442" s="28"/>
      <c r="O442" s="28"/>
      <c r="P442" s="29"/>
      <c r="Q442" s="54"/>
      <c r="R442" s="30"/>
    </row>
    <row r="443" spans="1:18" ht="15" hidden="1" customHeight="1" x14ac:dyDescent="0.3">
      <c r="A443" s="124">
        <v>45491</v>
      </c>
      <c r="B443" s="2"/>
      <c r="C443" s="2">
        <v>0</v>
      </c>
      <c r="D443" s="2"/>
      <c r="E443" s="2"/>
      <c r="F443" s="2">
        <v>0</v>
      </c>
      <c r="G443" s="2">
        <v>0</v>
      </c>
      <c r="H443" s="23"/>
      <c r="J443" s="68"/>
      <c r="K443" s="28"/>
      <c r="L443" s="28"/>
      <c r="M443" s="28"/>
      <c r="N443" s="28"/>
      <c r="O443" s="28"/>
      <c r="P443" s="29"/>
      <c r="Q443" s="54"/>
      <c r="R443" s="30"/>
    </row>
    <row r="444" spans="1:18" ht="15" hidden="1" customHeight="1" x14ac:dyDescent="0.3">
      <c r="A444" s="124">
        <v>45492</v>
      </c>
      <c r="B444" s="2">
        <v>76000</v>
      </c>
      <c r="C444" s="2">
        <v>76000</v>
      </c>
      <c r="D444" s="2"/>
      <c r="E444" s="2">
        <v>66149</v>
      </c>
      <c r="F444" s="2">
        <v>66149</v>
      </c>
      <c r="G444" s="2">
        <v>9851</v>
      </c>
      <c r="H444" s="23"/>
      <c r="J444" s="68"/>
      <c r="K444" s="28"/>
      <c r="L444" s="28"/>
      <c r="M444" s="28"/>
      <c r="N444" s="28"/>
      <c r="O444" s="28"/>
      <c r="P444" s="29"/>
      <c r="Q444" s="54"/>
      <c r="R444" s="30"/>
    </row>
    <row r="445" spans="1:18" ht="15" hidden="1" customHeight="1" x14ac:dyDescent="0.3">
      <c r="A445" s="124">
        <v>45493</v>
      </c>
      <c r="B445" s="2">
        <v>242300</v>
      </c>
      <c r="C445" s="2">
        <v>242300</v>
      </c>
      <c r="D445" s="2">
        <v>46539</v>
      </c>
      <c r="E445" s="2">
        <v>150189</v>
      </c>
      <c r="F445" s="2">
        <v>196728</v>
      </c>
      <c r="G445" s="2">
        <v>45572</v>
      </c>
      <c r="H445" s="23"/>
      <c r="J445" s="68"/>
      <c r="K445" s="28"/>
      <c r="L445" s="28"/>
      <c r="M445" s="28"/>
      <c r="N445" s="28"/>
      <c r="O445" s="28"/>
      <c r="P445" s="29"/>
      <c r="Q445" s="54"/>
      <c r="R445" s="30"/>
    </row>
    <row r="446" spans="1:18" ht="15" hidden="1" customHeight="1" x14ac:dyDescent="0.3">
      <c r="A446" s="124">
        <v>45494</v>
      </c>
      <c r="B446" s="2"/>
      <c r="C446" s="2">
        <v>0</v>
      </c>
      <c r="D446" s="2"/>
      <c r="E446" s="2">
        <v>82180</v>
      </c>
      <c r="F446" s="2">
        <v>82180</v>
      </c>
      <c r="G446" s="2">
        <v>-82180</v>
      </c>
      <c r="H446" s="23"/>
      <c r="J446" s="68"/>
      <c r="K446" s="28"/>
      <c r="L446" s="28"/>
      <c r="M446" s="28"/>
      <c r="N446" s="28"/>
      <c r="O446" s="28"/>
      <c r="P446" s="29"/>
      <c r="Q446" s="54"/>
      <c r="R446" s="30"/>
    </row>
    <row r="447" spans="1:18" ht="15" hidden="1" customHeight="1" x14ac:dyDescent="0.3">
      <c r="A447" s="124">
        <v>45495</v>
      </c>
      <c r="B447" s="2"/>
      <c r="C447" s="2">
        <v>0</v>
      </c>
      <c r="D447" s="2">
        <v>413000</v>
      </c>
      <c r="E447" s="2"/>
      <c r="F447" s="2">
        <v>413000</v>
      </c>
      <c r="G447" s="2">
        <v>-413000</v>
      </c>
      <c r="H447" s="127" t="s">
        <v>239</v>
      </c>
      <c r="J447" s="68"/>
      <c r="K447" s="28"/>
      <c r="L447" s="28"/>
      <c r="M447" s="28"/>
      <c r="N447" s="28"/>
      <c r="O447" s="28"/>
      <c r="P447" s="29"/>
      <c r="Q447" s="54"/>
      <c r="R447" s="30"/>
    </row>
    <row r="448" spans="1:18" ht="15" hidden="1" customHeight="1" x14ac:dyDescent="0.3">
      <c r="A448" s="124">
        <v>45496</v>
      </c>
      <c r="B448" s="2"/>
      <c r="C448" s="2">
        <v>0</v>
      </c>
      <c r="D448" s="2">
        <v>40098</v>
      </c>
      <c r="E448" s="2">
        <v>36327</v>
      </c>
      <c r="F448" s="2">
        <v>76425</v>
      </c>
      <c r="G448" s="2">
        <v>-76425</v>
      </c>
      <c r="H448" s="23"/>
      <c r="J448" s="68"/>
      <c r="K448" s="28"/>
      <c r="L448" s="28"/>
      <c r="M448" s="28"/>
      <c r="N448" s="28"/>
      <c r="O448" s="28"/>
      <c r="P448" s="29"/>
      <c r="Q448" s="54"/>
      <c r="R448" s="30"/>
    </row>
    <row r="449" spans="1:18" ht="15" hidden="1" customHeight="1" x14ac:dyDescent="0.3">
      <c r="A449" s="124">
        <v>45497</v>
      </c>
      <c r="B449" s="2">
        <v>490319</v>
      </c>
      <c r="C449" s="2">
        <v>490319</v>
      </c>
      <c r="D449" s="2">
        <v>19830</v>
      </c>
      <c r="E449" s="2">
        <v>96855</v>
      </c>
      <c r="F449" s="2">
        <v>116685</v>
      </c>
      <c r="G449" s="2">
        <v>373634</v>
      </c>
      <c r="H449" s="23"/>
      <c r="J449" s="68"/>
      <c r="K449" s="28"/>
      <c r="L449" s="28"/>
      <c r="M449" s="28"/>
      <c r="N449" s="28"/>
      <c r="O449" s="28"/>
      <c r="P449" s="29"/>
      <c r="Q449" s="54"/>
      <c r="R449" s="30"/>
    </row>
    <row r="450" spans="1:18" ht="15" hidden="1" customHeight="1" x14ac:dyDescent="0.3">
      <c r="A450" s="124">
        <v>45498</v>
      </c>
      <c r="B450" s="2">
        <v>2072742</v>
      </c>
      <c r="C450" s="2">
        <v>2072742</v>
      </c>
      <c r="D450" s="2">
        <v>31497</v>
      </c>
      <c r="E450" s="2">
        <v>30596</v>
      </c>
      <c r="F450" s="2">
        <v>62093</v>
      </c>
      <c r="G450" s="2">
        <v>2010649</v>
      </c>
      <c r="H450" s="23"/>
      <c r="J450" s="68"/>
      <c r="K450" s="28"/>
      <c r="L450" s="28"/>
      <c r="M450" s="28"/>
      <c r="N450" s="28"/>
      <c r="O450" s="28"/>
      <c r="P450" s="29"/>
      <c r="Q450" s="54"/>
      <c r="R450" s="30"/>
    </row>
    <row r="451" spans="1:18" ht="15" hidden="1" customHeight="1" x14ac:dyDescent="0.3">
      <c r="A451" s="124">
        <v>45499</v>
      </c>
      <c r="B451" s="2"/>
      <c r="C451" s="2">
        <v>0</v>
      </c>
      <c r="D451" s="2">
        <v>60130</v>
      </c>
      <c r="E451" s="2">
        <v>177584</v>
      </c>
      <c r="F451" s="2">
        <v>237714</v>
      </c>
      <c r="G451" s="2">
        <v>-237714</v>
      </c>
      <c r="H451" s="23" t="s">
        <v>240</v>
      </c>
      <c r="J451" s="68"/>
      <c r="K451" s="28"/>
      <c r="L451" s="28"/>
      <c r="M451" s="28"/>
      <c r="N451" s="28"/>
      <c r="O451" s="28"/>
      <c r="P451" s="29"/>
      <c r="Q451" s="54"/>
      <c r="R451" s="30"/>
    </row>
    <row r="452" spans="1:18" ht="15" hidden="1" customHeight="1" x14ac:dyDescent="0.3">
      <c r="A452" s="124">
        <v>45500</v>
      </c>
      <c r="B452" s="2"/>
      <c r="C452" s="2">
        <v>0</v>
      </c>
      <c r="D452" s="2">
        <v>170000</v>
      </c>
      <c r="E452" s="2">
        <v>33189</v>
      </c>
      <c r="F452" s="2">
        <v>203189</v>
      </c>
      <c r="G452" s="2">
        <v>-203189</v>
      </c>
      <c r="H452" s="23"/>
      <c r="J452" s="68"/>
      <c r="K452" s="28"/>
      <c r="L452" s="28"/>
      <c r="M452" s="28"/>
      <c r="N452" s="28"/>
      <c r="O452" s="28"/>
      <c r="P452" s="29"/>
      <c r="Q452" s="54"/>
      <c r="R452" s="30"/>
    </row>
    <row r="453" spans="1:18" ht="15" hidden="1" customHeight="1" x14ac:dyDescent="0.3">
      <c r="A453" s="124">
        <v>45501</v>
      </c>
      <c r="B453" s="2"/>
      <c r="C453" s="2">
        <v>0</v>
      </c>
      <c r="D453" s="2"/>
      <c r="E453" s="2"/>
      <c r="F453" s="2">
        <v>0</v>
      </c>
      <c r="G453" s="2">
        <v>0</v>
      </c>
      <c r="H453" s="23"/>
      <c r="J453" s="68"/>
      <c r="K453" s="28"/>
      <c r="L453" s="28"/>
      <c r="M453" s="28"/>
      <c r="N453" s="28"/>
      <c r="O453" s="28"/>
      <c r="P453" s="29"/>
      <c r="Q453" s="54"/>
      <c r="R453" s="30"/>
    </row>
    <row r="454" spans="1:18" ht="15" hidden="1" customHeight="1" x14ac:dyDescent="0.3">
      <c r="A454" s="124">
        <v>45502</v>
      </c>
      <c r="B454" s="2"/>
      <c r="C454" s="2">
        <v>0</v>
      </c>
      <c r="D454" s="2">
        <v>40707</v>
      </c>
      <c r="E454" s="2"/>
      <c r="F454" s="2">
        <v>40707</v>
      </c>
      <c r="G454" s="2">
        <v>-40707</v>
      </c>
      <c r="H454" s="23" t="s">
        <v>186</v>
      </c>
      <c r="J454" s="68"/>
      <c r="K454" s="28"/>
      <c r="L454" s="28"/>
      <c r="M454" s="28"/>
      <c r="N454" s="28"/>
      <c r="O454" s="28"/>
      <c r="P454" s="29"/>
      <c r="Q454" s="54"/>
      <c r="R454" s="30"/>
    </row>
    <row r="455" spans="1:18" ht="15" hidden="1" customHeight="1" x14ac:dyDescent="0.3">
      <c r="A455" s="124">
        <v>45503</v>
      </c>
      <c r="B455" s="2">
        <v>216580</v>
      </c>
      <c r="C455" s="2">
        <v>216580</v>
      </c>
      <c r="D455" s="2"/>
      <c r="E455" s="2">
        <v>18038</v>
      </c>
      <c r="F455" s="2">
        <v>18038</v>
      </c>
      <c r="G455" s="2">
        <v>198542</v>
      </c>
      <c r="H455" s="23"/>
      <c r="J455" s="68"/>
      <c r="K455" s="28"/>
      <c r="L455" s="28"/>
      <c r="M455" s="28"/>
      <c r="N455" s="28"/>
      <c r="O455" s="28"/>
      <c r="P455" s="29"/>
      <c r="Q455" s="54"/>
      <c r="R455" s="30"/>
    </row>
    <row r="456" spans="1:18" ht="15" hidden="1" customHeight="1" x14ac:dyDescent="0.3">
      <c r="A456" s="124">
        <v>45504</v>
      </c>
      <c r="B456" s="2">
        <v>140400</v>
      </c>
      <c r="C456" s="2">
        <v>140400</v>
      </c>
      <c r="D456" s="2">
        <v>63750</v>
      </c>
      <c r="E456" s="2">
        <v>67267</v>
      </c>
      <c r="F456" s="2">
        <v>131017</v>
      </c>
      <c r="G456" s="2">
        <v>9383</v>
      </c>
      <c r="H456" s="23"/>
      <c r="J456" s="68"/>
      <c r="K456" s="28"/>
      <c r="L456" s="28"/>
      <c r="M456" s="28"/>
      <c r="N456" s="28"/>
      <c r="O456" s="28"/>
      <c r="P456" s="29"/>
      <c r="Q456" s="54"/>
      <c r="R456" s="30"/>
    </row>
    <row r="457" spans="1:18" ht="15" hidden="1" customHeight="1" x14ac:dyDescent="0.3">
      <c r="A457" s="34" t="s">
        <v>48</v>
      </c>
      <c r="B457" s="2">
        <v>4235041</v>
      </c>
      <c r="C457" s="2">
        <v>4235041</v>
      </c>
      <c r="D457" s="2">
        <v>1113530</v>
      </c>
      <c r="E457" s="2">
        <v>1671033</v>
      </c>
      <c r="F457" s="2">
        <v>2784563</v>
      </c>
      <c r="G457" s="2">
        <v>1450478</v>
      </c>
      <c r="H457"/>
      <c r="J457" s="68"/>
      <c r="K457" s="28"/>
      <c r="L457" s="28"/>
      <c r="M457" s="28"/>
      <c r="N457" s="28"/>
      <c r="O457" s="28"/>
      <c r="P457" s="29"/>
      <c r="Q457" s="54"/>
      <c r="R457" s="30"/>
    </row>
    <row r="458" spans="1:18" ht="15" hidden="1" customHeight="1" x14ac:dyDescent="0.3">
      <c r="A458" s="124"/>
      <c r="B458" s="2"/>
      <c r="C458" s="2"/>
      <c r="D458" s="2"/>
      <c r="E458" s="2"/>
      <c r="F458" s="2"/>
      <c r="G458" s="2"/>
      <c r="H458"/>
      <c r="J458" s="68"/>
      <c r="K458" s="28"/>
      <c r="L458" s="28"/>
      <c r="M458" s="28"/>
      <c r="N458" s="28"/>
      <c r="O458" s="28"/>
      <c r="P458" s="29"/>
      <c r="Q458" s="54"/>
      <c r="R458" s="30"/>
    </row>
    <row r="459" spans="1:18" ht="15" hidden="1" customHeight="1" x14ac:dyDescent="0.3">
      <c r="A459" s="124"/>
      <c r="B459" s="2"/>
      <c r="C459" s="2"/>
      <c r="D459" s="2"/>
      <c r="E459" s="2"/>
      <c r="F459" s="2"/>
      <c r="G459" s="2"/>
      <c r="H459"/>
      <c r="J459" s="68"/>
      <c r="K459" s="28"/>
      <c r="L459" s="28"/>
      <c r="M459" s="28"/>
      <c r="N459" s="28"/>
      <c r="O459" s="28"/>
      <c r="P459" s="29"/>
      <c r="Q459" s="54"/>
      <c r="R459" s="30"/>
    </row>
    <row r="460" spans="1:18" ht="15" hidden="1" customHeight="1" x14ac:dyDescent="0.3">
      <c r="A460" s="124"/>
      <c r="B460" s="2"/>
      <c r="C460" s="2"/>
      <c r="D460" s="2"/>
      <c r="E460" s="2"/>
      <c r="F460" s="2"/>
      <c r="G460" s="2"/>
      <c r="H460"/>
      <c r="J460" s="68"/>
      <c r="K460" s="28"/>
      <c r="L460" s="28"/>
      <c r="M460" s="28"/>
      <c r="N460" s="28"/>
      <c r="O460" s="28"/>
      <c r="P460" s="29"/>
      <c r="Q460" s="54"/>
      <c r="R460" s="30"/>
    </row>
    <row r="461" spans="1:18" ht="15" hidden="1" customHeight="1" x14ac:dyDescent="0.3">
      <c r="A461" s="124">
        <v>45444</v>
      </c>
      <c r="B461" s="2">
        <v>55000</v>
      </c>
      <c r="C461" s="2">
        <f>B461</f>
        <v>55000</v>
      </c>
      <c r="D461" s="2"/>
      <c r="E461" s="2"/>
      <c r="F461" s="2">
        <f>D461+E461</f>
        <v>0</v>
      </c>
      <c r="G461" s="2">
        <f>C461-F461</f>
        <v>55000</v>
      </c>
      <c r="H461"/>
      <c r="J461" s="68"/>
      <c r="K461" s="28"/>
      <c r="L461" s="28"/>
      <c r="M461" s="28"/>
      <c r="N461" s="28"/>
      <c r="O461" s="28"/>
      <c r="P461" s="29"/>
      <c r="Q461" s="54"/>
      <c r="R461" s="30"/>
    </row>
    <row r="462" spans="1:18" ht="15" hidden="1" customHeight="1" x14ac:dyDescent="0.3">
      <c r="A462" s="124">
        <v>45445</v>
      </c>
      <c r="B462" s="2">
        <v>78000</v>
      </c>
      <c r="C462" s="2">
        <f t="shared" ref="C462:C489" si="26">B462</f>
        <v>78000</v>
      </c>
      <c r="D462" s="2">
        <v>325322</v>
      </c>
      <c r="E462" s="2"/>
      <c r="F462" s="2">
        <f t="shared" ref="F462:F490" si="27">D462+E462</f>
        <v>325322</v>
      </c>
      <c r="G462" s="2">
        <f t="shared" ref="G462:G490" si="28">C462-F462</f>
        <v>-247322</v>
      </c>
      <c r="H462" t="s">
        <v>212</v>
      </c>
      <c r="J462" s="68"/>
      <c r="K462" s="28"/>
      <c r="L462" s="28"/>
      <c r="M462" s="28"/>
      <c r="N462" s="28"/>
      <c r="O462" s="28"/>
      <c r="P462" s="29"/>
      <c r="Q462" s="54"/>
      <c r="R462" s="30"/>
    </row>
    <row r="463" spans="1:18" ht="15" hidden="1" customHeight="1" x14ac:dyDescent="0.3">
      <c r="A463" s="124">
        <v>45446</v>
      </c>
      <c r="B463" s="2"/>
      <c r="C463" s="2">
        <f t="shared" si="26"/>
        <v>0</v>
      </c>
      <c r="D463" s="2"/>
      <c r="E463" s="2">
        <v>3000</v>
      </c>
      <c r="F463" s="2">
        <f t="shared" si="27"/>
        <v>3000</v>
      </c>
      <c r="G463" s="2">
        <f t="shared" si="28"/>
        <v>-3000</v>
      </c>
      <c r="H463"/>
      <c r="J463" s="68"/>
      <c r="K463" s="28"/>
      <c r="L463" s="28"/>
      <c r="M463" s="28"/>
      <c r="N463" s="28"/>
      <c r="O463" s="28"/>
      <c r="P463" s="29"/>
      <c r="Q463" s="54"/>
      <c r="R463" s="30"/>
    </row>
    <row r="464" spans="1:18" ht="15" hidden="1" customHeight="1" x14ac:dyDescent="0.3">
      <c r="A464" s="124">
        <v>45447</v>
      </c>
      <c r="B464" s="2"/>
      <c r="C464" s="2">
        <f t="shared" si="26"/>
        <v>0</v>
      </c>
      <c r="D464" s="2">
        <v>20900</v>
      </c>
      <c r="E464" s="2"/>
      <c r="F464" s="2">
        <f t="shared" si="27"/>
        <v>20900</v>
      </c>
      <c r="G464" s="2">
        <f t="shared" si="28"/>
        <v>-20900</v>
      </c>
      <c r="H464" t="s">
        <v>218</v>
      </c>
      <c r="J464" s="68"/>
      <c r="K464" s="28"/>
      <c r="L464" s="28"/>
      <c r="M464" s="28"/>
      <c r="N464" s="28"/>
      <c r="O464" s="28"/>
      <c r="P464" s="29"/>
      <c r="Q464" s="54"/>
      <c r="R464" s="30"/>
    </row>
    <row r="465" spans="1:18" ht="15" hidden="1" customHeight="1" x14ac:dyDescent="0.3">
      <c r="A465" s="124">
        <v>45448</v>
      </c>
      <c r="B465" s="2">
        <v>99200</v>
      </c>
      <c r="C465" s="2">
        <f t="shared" si="26"/>
        <v>99200</v>
      </c>
      <c r="D465" s="2"/>
      <c r="E465" s="2"/>
      <c r="F465" s="2">
        <f t="shared" si="27"/>
        <v>0</v>
      </c>
      <c r="G465" s="2">
        <f t="shared" si="28"/>
        <v>99200</v>
      </c>
      <c r="H465"/>
      <c r="J465" s="68"/>
      <c r="K465" s="28"/>
      <c r="L465" s="28"/>
      <c r="M465" s="28"/>
      <c r="N465" s="28"/>
      <c r="O465" s="28"/>
      <c r="P465" s="29"/>
      <c r="Q465" s="54"/>
      <c r="R465" s="30"/>
    </row>
    <row r="466" spans="1:18" ht="15" hidden="1" customHeight="1" x14ac:dyDescent="0.3">
      <c r="A466" s="124">
        <v>45449</v>
      </c>
      <c r="B466" s="2">
        <v>25600</v>
      </c>
      <c r="C466" s="2">
        <f t="shared" si="26"/>
        <v>25600</v>
      </c>
      <c r="D466" s="2">
        <v>30001</v>
      </c>
      <c r="E466" s="2">
        <v>19000</v>
      </c>
      <c r="F466" s="2">
        <f t="shared" si="27"/>
        <v>49001</v>
      </c>
      <c r="G466" s="2">
        <f t="shared" si="28"/>
        <v>-23401</v>
      </c>
      <c r="H466"/>
      <c r="J466" s="68"/>
      <c r="K466" s="28"/>
      <c r="L466" s="28"/>
      <c r="M466" s="28"/>
      <c r="N466" s="28"/>
      <c r="O466" s="28"/>
      <c r="P466" s="29"/>
      <c r="Q466" s="54"/>
      <c r="R466" s="30"/>
    </row>
    <row r="467" spans="1:18" ht="15" hidden="1" customHeight="1" x14ac:dyDescent="0.3">
      <c r="A467" s="124">
        <v>45450</v>
      </c>
      <c r="B467" s="2"/>
      <c r="C467" s="2">
        <f t="shared" si="26"/>
        <v>0</v>
      </c>
      <c r="D467" s="2"/>
      <c r="E467" s="2">
        <v>19770</v>
      </c>
      <c r="F467" s="2">
        <f t="shared" si="27"/>
        <v>19770</v>
      </c>
      <c r="G467" s="2">
        <f t="shared" si="28"/>
        <v>-19770</v>
      </c>
      <c r="H467"/>
      <c r="J467" s="68"/>
      <c r="K467" s="28"/>
      <c r="L467" s="28"/>
      <c r="M467" s="28"/>
      <c r="N467" s="28"/>
      <c r="O467" s="28"/>
      <c r="P467" s="29"/>
      <c r="Q467" s="54"/>
      <c r="R467" s="30"/>
    </row>
    <row r="468" spans="1:18" ht="15" hidden="1" customHeight="1" x14ac:dyDescent="0.3">
      <c r="A468" s="124">
        <v>45451</v>
      </c>
      <c r="B468" s="2"/>
      <c r="C468" s="2">
        <f t="shared" si="26"/>
        <v>0</v>
      </c>
      <c r="D468" s="2"/>
      <c r="E468" s="2"/>
      <c r="F468" s="2">
        <f t="shared" si="27"/>
        <v>0</v>
      </c>
      <c r="G468" s="2">
        <f t="shared" si="28"/>
        <v>0</v>
      </c>
      <c r="H468"/>
      <c r="J468" s="68"/>
      <c r="K468" s="28"/>
      <c r="L468" s="28"/>
      <c r="M468" s="28"/>
      <c r="N468" s="28"/>
      <c r="O468" s="28"/>
      <c r="P468" s="29"/>
      <c r="Q468" s="54"/>
      <c r="R468" s="30"/>
    </row>
    <row r="469" spans="1:18" ht="15" hidden="1" customHeight="1" x14ac:dyDescent="0.3">
      <c r="A469" s="124">
        <v>45452</v>
      </c>
      <c r="B469" s="2"/>
      <c r="C469" s="2">
        <f t="shared" si="26"/>
        <v>0</v>
      </c>
      <c r="D469" s="2"/>
      <c r="E469" s="2"/>
      <c r="F469" s="2">
        <f t="shared" si="27"/>
        <v>0</v>
      </c>
      <c r="G469" s="2">
        <f t="shared" si="28"/>
        <v>0</v>
      </c>
      <c r="H469"/>
      <c r="J469" s="68"/>
      <c r="K469" s="28"/>
      <c r="L469" s="28"/>
      <c r="M469" s="28"/>
      <c r="N469" s="28"/>
      <c r="O469" s="28"/>
      <c r="P469" s="29"/>
      <c r="Q469" s="54"/>
      <c r="R469" s="30"/>
    </row>
    <row r="470" spans="1:18" ht="15" hidden="1" customHeight="1" x14ac:dyDescent="0.3">
      <c r="A470" s="124">
        <v>45453</v>
      </c>
      <c r="B470" s="2"/>
      <c r="C470" s="2">
        <f t="shared" si="26"/>
        <v>0</v>
      </c>
      <c r="D470" s="2"/>
      <c r="E470" s="2">
        <v>12500</v>
      </c>
      <c r="F470" s="2">
        <f t="shared" si="27"/>
        <v>12500</v>
      </c>
      <c r="G470" s="2">
        <f t="shared" si="28"/>
        <v>-12500</v>
      </c>
      <c r="H470"/>
      <c r="J470" s="68"/>
      <c r="K470" s="28"/>
      <c r="L470" s="28"/>
      <c r="M470" s="28"/>
      <c r="N470" s="28"/>
      <c r="O470" s="28"/>
      <c r="P470" s="29"/>
      <c r="Q470" s="54"/>
      <c r="R470" s="30"/>
    </row>
    <row r="471" spans="1:18" ht="15" hidden="1" customHeight="1" x14ac:dyDescent="0.3">
      <c r="A471" s="124">
        <v>45454</v>
      </c>
      <c r="B471" s="2"/>
      <c r="C471" s="2">
        <f t="shared" si="26"/>
        <v>0</v>
      </c>
      <c r="D471" s="2"/>
      <c r="E471" s="2"/>
      <c r="F471" s="2">
        <f t="shared" si="27"/>
        <v>0</v>
      </c>
      <c r="G471" s="2">
        <f t="shared" si="28"/>
        <v>0</v>
      </c>
      <c r="H471"/>
      <c r="J471" s="68"/>
      <c r="K471" s="28"/>
      <c r="L471" s="28"/>
      <c r="M471" s="28"/>
      <c r="N471" s="28"/>
      <c r="O471" s="28"/>
      <c r="P471" s="29"/>
      <c r="Q471" s="54"/>
      <c r="R471" s="30"/>
    </row>
    <row r="472" spans="1:18" ht="15" hidden="1" customHeight="1" x14ac:dyDescent="0.3">
      <c r="A472" s="124">
        <v>45455</v>
      </c>
      <c r="B472" s="2">
        <v>54400</v>
      </c>
      <c r="C472" s="2">
        <f t="shared" si="26"/>
        <v>54400</v>
      </c>
      <c r="D472" s="2">
        <v>31334</v>
      </c>
      <c r="E472" s="2">
        <v>6910</v>
      </c>
      <c r="F472" s="2">
        <f t="shared" si="27"/>
        <v>38244</v>
      </c>
      <c r="G472" s="2">
        <f t="shared" si="28"/>
        <v>16156</v>
      </c>
      <c r="H472"/>
      <c r="J472" s="68"/>
      <c r="K472" s="28"/>
      <c r="L472" s="28"/>
      <c r="M472" s="28"/>
      <c r="N472" s="28"/>
      <c r="O472" s="28"/>
      <c r="P472" s="29"/>
      <c r="Q472" s="54"/>
      <c r="R472" s="30"/>
    </row>
    <row r="473" spans="1:18" ht="15" hidden="1" customHeight="1" x14ac:dyDescent="0.3">
      <c r="A473" s="124">
        <v>45456</v>
      </c>
      <c r="B473" s="2"/>
      <c r="C473" s="2">
        <f t="shared" si="26"/>
        <v>0</v>
      </c>
      <c r="D473" s="2"/>
      <c r="E473" s="2"/>
      <c r="F473" s="2">
        <f t="shared" si="27"/>
        <v>0</v>
      </c>
      <c r="G473" s="2">
        <f t="shared" si="28"/>
        <v>0</v>
      </c>
      <c r="H473"/>
      <c r="J473" s="68"/>
      <c r="K473" s="28"/>
      <c r="L473" s="28"/>
      <c r="M473" s="28"/>
      <c r="N473" s="28"/>
      <c r="O473" s="28"/>
      <c r="P473" s="29"/>
      <c r="Q473" s="54"/>
      <c r="R473" s="30"/>
    </row>
    <row r="474" spans="1:18" ht="15" hidden="1" customHeight="1" x14ac:dyDescent="0.3">
      <c r="A474" s="124">
        <v>45457</v>
      </c>
      <c r="B474" s="2"/>
      <c r="C474" s="2">
        <f t="shared" si="26"/>
        <v>0</v>
      </c>
      <c r="D474" s="2"/>
      <c r="E474" s="2">
        <v>15000</v>
      </c>
      <c r="F474" s="2">
        <f t="shared" si="27"/>
        <v>15000</v>
      </c>
      <c r="G474" s="2">
        <f t="shared" si="28"/>
        <v>-15000</v>
      </c>
      <c r="H474"/>
      <c r="J474" s="68"/>
      <c r="K474" s="28"/>
      <c r="L474" s="28"/>
      <c r="M474" s="28"/>
      <c r="N474" s="28"/>
      <c r="O474" s="28"/>
      <c r="P474" s="29"/>
      <c r="Q474" s="54"/>
      <c r="R474" s="30"/>
    </row>
    <row r="475" spans="1:18" ht="15" hidden="1" customHeight="1" x14ac:dyDescent="0.3">
      <c r="A475" s="124">
        <v>45458</v>
      </c>
      <c r="B475" s="2"/>
      <c r="C475" s="2">
        <f t="shared" si="26"/>
        <v>0</v>
      </c>
      <c r="D475" s="2"/>
      <c r="E475" s="2">
        <v>3190</v>
      </c>
      <c r="F475" s="2">
        <f t="shared" si="27"/>
        <v>3190</v>
      </c>
      <c r="G475" s="2">
        <f t="shared" si="28"/>
        <v>-3190</v>
      </c>
      <c r="H475"/>
      <c r="J475" s="68"/>
      <c r="K475" s="28"/>
      <c r="L475" s="28"/>
      <c r="M475" s="28"/>
      <c r="N475" s="28"/>
      <c r="O475" s="28"/>
      <c r="P475" s="29"/>
      <c r="Q475" s="54"/>
      <c r="R475" s="30"/>
    </row>
    <row r="476" spans="1:18" ht="15" hidden="1" customHeight="1" x14ac:dyDescent="0.3">
      <c r="A476" s="124">
        <v>45459</v>
      </c>
      <c r="B476" s="2">
        <v>72500</v>
      </c>
      <c r="C476" s="2">
        <f t="shared" si="26"/>
        <v>72500</v>
      </c>
      <c r="D476" s="2"/>
      <c r="E476" s="2"/>
      <c r="F476" s="2">
        <f t="shared" si="27"/>
        <v>0</v>
      </c>
      <c r="G476" s="2">
        <f t="shared" si="28"/>
        <v>72500</v>
      </c>
      <c r="H476"/>
      <c r="J476" s="68"/>
      <c r="K476" s="28"/>
      <c r="L476" s="28"/>
      <c r="M476" s="28"/>
      <c r="N476" s="28"/>
      <c r="O476" s="28"/>
      <c r="P476" s="29"/>
      <c r="Q476" s="54"/>
      <c r="R476" s="30"/>
    </row>
    <row r="477" spans="1:18" ht="15" hidden="1" customHeight="1" x14ac:dyDescent="0.3">
      <c r="A477" s="124">
        <v>45460</v>
      </c>
      <c r="B477" s="2"/>
      <c r="C477" s="2">
        <f t="shared" si="26"/>
        <v>0</v>
      </c>
      <c r="D477" s="2"/>
      <c r="E477" s="2"/>
      <c r="F477" s="2">
        <f t="shared" si="27"/>
        <v>0</v>
      </c>
      <c r="G477" s="2">
        <f t="shared" si="28"/>
        <v>0</v>
      </c>
      <c r="H477"/>
      <c r="J477" s="68"/>
      <c r="K477" s="28"/>
      <c r="L477" s="28"/>
      <c r="M477" s="28"/>
      <c r="N477" s="28"/>
      <c r="O477" s="28"/>
      <c r="P477" s="29"/>
      <c r="Q477" s="54"/>
      <c r="R477" s="30"/>
    </row>
    <row r="478" spans="1:18" ht="15" hidden="1" customHeight="1" x14ac:dyDescent="0.3">
      <c r="A478" s="124">
        <v>45461</v>
      </c>
      <c r="B478" s="2">
        <v>48000</v>
      </c>
      <c r="C478" s="2">
        <f t="shared" si="26"/>
        <v>48000</v>
      </c>
      <c r="D478" s="2">
        <v>31678</v>
      </c>
      <c r="E478" s="2">
        <v>2760</v>
      </c>
      <c r="F478" s="2">
        <f t="shared" si="27"/>
        <v>34438</v>
      </c>
      <c r="G478" s="2">
        <f t="shared" si="28"/>
        <v>13562</v>
      </c>
      <c r="H478"/>
      <c r="J478" s="68"/>
      <c r="K478" s="28"/>
      <c r="L478" s="28"/>
      <c r="M478" s="28"/>
      <c r="N478" s="28"/>
      <c r="O478" s="28"/>
      <c r="P478" s="29"/>
      <c r="Q478" s="54"/>
      <c r="R478" s="30"/>
    </row>
    <row r="479" spans="1:18" ht="15" hidden="1" customHeight="1" x14ac:dyDescent="0.3">
      <c r="A479" s="124">
        <v>45462</v>
      </c>
      <c r="B479" s="2"/>
      <c r="C479" s="2">
        <f t="shared" si="26"/>
        <v>0</v>
      </c>
      <c r="D479" s="2"/>
      <c r="E479" s="2">
        <v>25950</v>
      </c>
      <c r="F479" s="2">
        <f t="shared" si="27"/>
        <v>25950</v>
      </c>
      <c r="G479" s="2">
        <f t="shared" si="28"/>
        <v>-25950</v>
      </c>
      <c r="H479"/>
      <c r="J479" s="68"/>
      <c r="K479" s="28"/>
      <c r="L479" s="28"/>
      <c r="M479" s="28"/>
      <c r="N479" s="28"/>
      <c r="O479" s="28"/>
      <c r="P479" s="29"/>
      <c r="Q479" s="54"/>
      <c r="R479" s="30"/>
    </row>
    <row r="480" spans="1:18" ht="15" hidden="1" customHeight="1" x14ac:dyDescent="0.3">
      <c r="A480" s="124">
        <v>45463</v>
      </c>
      <c r="B480" s="2">
        <v>106000</v>
      </c>
      <c r="C480" s="2">
        <f t="shared" si="26"/>
        <v>106000</v>
      </c>
      <c r="D480" s="2"/>
      <c r="E480" s="2"/>
      <c r="F480" s="2">
        <f t="shared" si="27"/>
        <v>0</v>
      </c>
      <c r="G480" s="2">
        <f t="shared" si="28"/>
        <v>106000</v>
      </c>
      <c r="H480"/>
      <c r="J480" s="68"/>
      <c r="K480" s="28"/>
      <c r="L480" s="28"/>
      <c r="M480" s="28"/>
      <c r="N480" s="28"/>
      <c r="O480" s="28"/>
      <c r="P480" s="29"/>
      <c r="Q480" s="54"/>
      <c r="R480" s="30"/>
    </row>
    <row r="481" spans="1:18" ht="15" hidden="1" customHeight="1" x14ac:dyDescent="0.3">
      <c r="A481" s="124">
        <v>45464</v>
      </c>
      <c r="B481" s="2"/>
      <c r="C481" s="2">
        <f t="shared" si="26"/>
        <v>0</v>
      </c>
      <c r="D481" s="2"/>
      <c r="E481" s="2">
        <v>11817</v>
      </c>
      <c r="F481" s="2">
        <f t="shared" si="27"/>
        <v>11817</v>
      </c>
      <c r="G481" s="2">
        <f t="shared" si="28"/>
        <v>-11817</v>
      </c>
      <c r="H481"/>
      <c r="J481" s="68"/>
      <c r="K481" s="28"/>
      <c r="L481" s="28"/>
      <c r="M481" s="28"/>
      <c r="N481" s="28"/>
      <c r="O481" s="28"/>
      <c r="P481" s="29"/>
      <c r="Q481" s="54"/>
      <c r="R481" s="30"/>
    </row>
    <row r="482" spans="1:18" ht="15" hidden="1" customHeight="1" x14ac:dyDescent="0.3">
      <c r="A482" s="124">
        <v>45465</v>
      </c>
      <c r="B482" s="2">
        <v>20000</v>
      </c>
      <c r="C482" s="2">
        <f t="shared" si="26"/>
        <v>20000</v>
      </c>
      <c r="D482" s="2"/>
      <c r="E482" s="2"/>
      <c r="F482" s="2">
        <f t="shared" si="27"/>
        <v>0</v>
      </c>
      <c r="G482" s="2">
        <f t="shared" si="28"/>
        <v>20000</v>
      </c>
      <c r="H482"/>
      <c r="J482" s="68"/>
      <c r="K482" s="28"/>
      <c r="L482" s="28"/>
      <c r="M482" s="28"/>
      <c r="N482" s="28"/>
      <c r="O482" s="28"/>
      <c r="P482" s="29"/>
      <c r="Q482" s="54"/>
      <c r="R482" s="30"/>
    </row>
    <row r="483" spans="1:18" ht="15" hidden="1" customHeight="1" x14ac:dyDescent="0.3">
      <c r="A483" s="124">
        <v>45466</v>
      </c>
      <c r="B483" s="2"/>
      <c r="C483" s="2">
        <f t="shared" si="26"/>
        <v>0</v>
      </c>
      <c r="D483" s="2">
        <v>22565</v>
      </c>
      <c r="E483" s="2"/>
      <c r="F483" s="2">
        <f t="shared" si="27"/>
        <v>22565</v>
      </c>
      <c r="G483" s="2">
        <f t="shared" si="28"/>
        <v>-22565</v>
      </c>
      <c r="H483"/>
      <c r="J483" s="68"/>
      <c r="K483" s="28"/>
      <c r="L483" s="28"/>
      <c r="M483" s="28"/>
      <c r="N483" s="28"/>
      <c r="O483" s="28"/>
      <c r="P483" s="29"/>
      <c r="Q483" s="54"/>
      <c r="R483" s="30"/>
    </row>
    <row r="484" spans="1:18" ht="15" hidden="1" customHeight="1" x14ac:dyDescent="0.3">
      <c r="A484" s="124">
        <v>45467</v>
      </c>
      <c r="B484" s="2">
        <v>85000</v>
      </c>
      <c r="C484" s="2">
        <f t="shared" si="26"/>
        <v>85000</v>
      </c>
      <c r="D484" s="2">
        <v>18350</v>
      </c>
      <c r="E484" s="2">
        <v>27503</v>
      </c>
      <c r="F484" s="2">
        <f t="shared" si="27"/>
        <v>45853</v>
      </c>
      <c r="G484" s="2">
        <f t="shared" si="28"/>
        <v>39147</v>
      </c>
      <c r="H484" t="s">
        <v>227</v>
      </c>
      <c r="J484" s="68"/>
      <c r="K484" s="28"/>
      <c r="L484" s="28"/>
      <c r="M484" s="28"/>
      <c r="N484" s="28"/>
      <c r="O484" s="28"/>
      <c r="P484" s="29"/>
      <c r="Q484" s="54"/>
      <c r="R484" s="30"/>
    </row>
    <row r="485" spans="1:18" ht="15" hidden="1" customHeight="1" x14ac:dyDescent="0.3">
      <c r="A485" s="124">
        <v>45468</v>
      </c>
      <c r="B485" s="2">
        <f>249080+500000</f>
        <v>749080</v>
      </c>
      <c r="C485" s="2">
        <f t="shared" si="26"/>
        <v>749080</v>
      </c>
      <c r="D485" s="2"/>
      <c r="E485" s="2"/>
      <c r="F485" s="2">
        <f t="shared" si="27"/>
        <v>0</v>
      </c>
      <c r="G485" s="2">
        <f t="shared" si="28"/>
        <v>749080</v>
      </c>
      <c r="H485"/>
      <c r="J485" s="68"/>
      <c r="K485" s="28"/>
      <c r="L485" s="28"/>
      <c r="M485" s="28"/>
      <c r="N485" s="28"/>
      <c r="O485" s="28"/>
      <c r="P485" s="29"/>
      <c r="Q485" s="54"/>
      <c r="R485" s="30"/>
    </row>
    <row r="486" spans="1:18" ht="15" hidden="1" customHeight="1" x14ac:dyDescent="0.3">
      <c r="A486" s="124">
        <v>45469</v>
      </c>
      <c r="B486" s="2">
        <v>2500000</v>
      </c>
      <c r="C486" s="2">
        <f t="shared" si="26"/>
        <v>2500000</v>
      </c>
      <c r="D486" s="2"/>
      <c r="E486" s="2">
        <v>2660</v>
      </c>
      <c r="F486" s="2">
        <f t="shared" si="27"/>
        <v>2660</v>
      </c>
      <c r="G486" s="2">
        <f t="shared" si="28"/>
        <v>2497340</v>
      </c>
      <c r="H486"/>
      <c r="J486" s="68"/>
      <c r="K486" s="28"/>
      <c r="L486" s="28"/>
      <c r="M486" s="28"/>
      <c r="N486" s="28"/>
      <c r="O486" s="28"/>
      <c r="P486" s="29"/>
      <c r="Q486" s="54"/>
      <c r="R486" s="30"/>
    </row>
    <row r="487" spans="1:18" ht="15" hidden="1" customHeight="1" x14ac:dyDescent="0.3">
      <c r="A487" s="124">
        <v>45470</v>
      </c>
      <c r="B487" s="2">
        <v>18000</v>
      </c>
      <c r="C487" s="2">
        <f t="shared" si="26"/>
        <v>18000</v>
      </c>
      <c r="D487" s="2"/>
      <c r="E487" s="2"/>
      <c r="F487" s="2">
        <f t="shared" si="27"/>
        <v>0</v>
      </c>
      <c r="G487" s="2">
        <f t="shared" si="28"/>
        <v>18000</v>
      </c>
      <c r="H487"/>
      <c r="J487" s="68"/>
      <c r="K487" s="28"/>
      <c r="L487" s="28"/>
      <c r="M487" s="28"/>
      <c r="N487" s="28"/>
      <c r="O487" s="28"/>
      <c r="P487" s="29"/>
      <c r="Q487" s="54"/>
      <c r="R487" s="30"/>
    </row>
    <row r="488" spans="1:18" ht="15" hidden="1" customHeight="1" x14ac:dyDescent="0.3">
      <c r="A488" s="124">
        <v>45471</v>
      </c>
      <c r="B488" s="2">
        <v>50500</v>
      </c>
      <c r="C488" s="2">
        <f t="shared" si="26"/>
        <v>50500</v>
      </c>
      <c r="D488" s="2"/>
      <c r="E488" s="2"/>
      <c r="F488" s="2">
        <f t="shared" si="27"/>
        <v>0</v>
      </c>
      <c r="G488" s="2">
        <f t="shared" si="28"/>
        <v>50500</v>
      </c>
      <c r="H488"/>
      <c r="J488" s="68"/>
      <c r="K488" s="28"/>
      <c r="L488" s="28"/>
      <c r="M488" s="28"/>
      <c r="N488" s="28"/>
      <c r="O488" s="28"/>
      <c r="P488" s="29"/>
      <c r="Q488" s="54"/>
      <c r="R488" s="30"/>
    </row>
    <row r="489" spans="1:18" ht="15" hidden="1" customHeight="1" x14ac:dyDescent="0.3">
      <c r="A489" s="124">
        <v>45472</v>
      </c>
      <c r="B489" s="2"/>
      <c r="C489" s="2">
        <f t="shared" si="26"/>
        <v>0</v>
      </c>
      <c r="D489" s="2"/>
      <c r="E489" s="2"/>
      <c r="F489" s="2">
        <f t="shared" si="27"/>
        <v>0</v>
      </c>
      <c r="G489" s="2">
        <f t="shared" si="28"/>
        <v>0</v>
      </c>
      <c r="H489"/>
      <c r="J489" s="68"/>
      <c r="K489" s="28"/>
      <c r="L489" s="28"/>
      <c r="M489" s="28"/>
      <c r="N489" s="28"/>
      <c r="O489" s="28"/>
      <c r="P489" s="29"/>
      <c r="Q489" s="54"/>
      <c r="R489" s="30"/>
    </row>
    <row r="490" spans="1:18" ht="15" hidden="1" customHeight="1" x14ac:dyDescent="0.3">
      <c r="A490" s="124">
        <v>45473</v>
      </c>
      <c r="B490" s="2"/>
      <c r="C490" s="2">
        <v>0</v>
      </c>
      <c r="D490" s="2">
        <v>31590</v>
      </c>
      <c r="E490" s="2"/>
      <c r="F490" s="2">
        <f t="shared" si="27"/>
        <v>31590</v>
      </c>
      <c r="G490" s="2">
        <f t="shared" si="28"/>
        <v>-31590</v>
      </c>
      <c r="H490"/>
      <c r="J490" s="68"/>
      <c r="K490" s="28"/>
      <c r="L490" s="28"/>
      <c r="M490" s="28"/>
      <c r="N490" s="28"/>
      <c r="O490" s="28"/>
      <c r="P490" s="29"/>
      <c r="Q490" s="54"/>
      <c r="R490" s="30"/>
    </row>
    <row r="491" spans="1:18" ht="15" hidden="1" customHeight="1" x14ac:dyDescent="0.3">
      <c r="A491" s="124"/>
      <c r="B491" s="2"/>
      <c r="C491" s="2">
        <v>0</v>
      </c>
      <c r="D491" s="2"/>
      <c r="E491" s="2"/>
      <c r="F491" s="2">
        <v>0</v>
      </c>
      <c r="G491" s="2">
        <v>0</v>
      </c>
      <c r="H491"/>
      <c r="J491" s="68"/>
      <c r="K491" s="28"/>
      <c r="L491" s="28"/>
      <c r="M491" s="28"/>
      <c r="N491" s="28"/>
      <c r="O491" s="28"/>
      <c r="P491" s="29"/>
      <c r="Q491" s="54"/>
      <c r="R491" s="30"/>
    </row>
    <row r="492" spans="1:18" ht="15" hidden="1" customHeight="1" x14ac:dyDescent="0.3">
      <c r="A492" s="34" t="s">
        <v>47</v>
      </c>
      <c r="B492" s="2">
        <f>SUM(B461:B490)</f>
        <v>3961280</v>
      </c>
      <c r="C492" s="2">
        <f t="shared" ref="C492:G492" si="29">SUM(C461:C490)</f>
        <v>3961280</v>
      </c>
      <c r="D492" s="2">
        <f t="shared" si="29"/>
        <v>511740</v>
      </c>
      <c r="E492" s="2">
        <f t="shared" si="29"/>
        <v>150060</v>
      </c>
      <c r="F492" s="2">
        <f t="shared" si="29"/>
        <v>661800</v>
      </c>
      <c r="G492" s="2">
        <f t="shared" si="29"/>
        <v>3299480</v>
      </c>
      <c r="H492"/>
      <c r="J492" s="68"/>
      <c r="K492" s="28"/>
      <c r="L492" s="28"/>
      <c r="M492" s="28"/>
      <c r="N492" s="28"/>
      <c r="O492" s="28"/>
      <c r="P492" s="29"/>
      <c r="Q492" s="54"/>
      <c r="R492" s="30"/>
    </row>
    <row r="493" spans="1:18" ht="15" hidden="1" customHeight="1" x14ac:dyDescent="0.3">
      <c r="A493" s="124"/>
      <c r="B493" s="2"/>
      <c r="C493" s="2"/>
      <c r="D493" s="2"/>
      <c r="E493" s="2"/>
      <c r="F493" s="2"/>
      <c r="G493" s="2"/>
      <c r="H493"/>
      <c r="J493" s="68"/>
      <c r="K493" s="28"/>
      <c r="L493" s="28"/>
      <c r="M493" s="28"/>
      <c r="N493" s="28"/>
      <c r="O493" s="28"/>
      <c r="P493" s="29"/>
      <c r="Q493" s="54"/>
      <c r="R493" s="30"/>
    </row>
    <row r="494" spans="1:18" ht="15" hidden="1" customHeight="1" x14ac:dyDescent="0.3">
      <c r="A494" s="124"/>
      <c r="B494" s="2"/>
      <c r="C494" s="2"/>
      <c r="D494" s="2"/>
      <c r="E494" s="2"/>
      <c r="F494" s="2"/>
      <c r="G494" s="2"/>
      <c r="H494"/>
      <c r="J494" s="68"/>
      <c r="K494" s="28"/>
      <c r="L494" s="28"/>
      <c r="M494" s="28"/>
      <c r="N494" s="28"/>
      <c r="O494" s="28"/>
      <c r="P494" s="29"/>
      <c r="Q494" s="54"/>
      <c r="R494" s="30"/>
    </row>
    <row r="495" spans="1:18" ht="15" hidden="1" customHeight="1" x14ac:dyDescent="0.3">
      <c r="A495" s="124"/>
      <c r="B495" s="2"/>
      <c r="C495" s="2"/>
      <c r="D495" s="2"/>
      <c r="E495" s="2"/>
      <c r="F495" s="2"/>
      <c r="G495" s="2"/>
      <c r="H495"/>
      <c r="J495" s="68"/>
      <c r="K495" s="28"/>
      <c r="L495" s="28"/>
      <c r="M495" s="28"/>
      <c r="N495" s="28"/>
      <c r="O495" s="28"/>
      <c r="P495" s="29"/>
      <c r="Q495" s="54"/>
      <c r="R495" s="30"/>
    </row>
    <row r="496" spans="1:18" ht="15" hidden="1" customHeight="1" x14ac:dyDescent="0.3">
      <c r="A496" s="124">
        <v>45413</v>
      </c>
      <c r="B496" s="2"/>
      <c r="C496" s="2">
        <v>0</v>
      </c>
      <c r="D496" s="2">
        <v>12000</v>
      </c>
      <c r="E496" s="2"/>
      <c r="F496" s="2">
        <v>12000</v>
      </c>
      <c r="G496" s="2">
        <v>-12000</v>
      </c>
      <c r="H496"/>
      <c r="J496" s="68"/>
      <c r="K496" s="28"/>
      <c r="L496" s="28"/>
      <c r="M496" s="28"/>
      <c r="N496" s="28"/>
      <c r="O496" s="28"/>
      <c r="P496" s="29"/>
      <c r="Q496" s="54"/>
      <c r="R496" s="30"/>
    </row>
    <row r="497" spans="1:18" ht="15" hidden="1" customHeight="1" x14ac:dyDescent="0.3">
      <c r="A497" s="124">
        <v>45414</v>
      </c>
      <c r="B497" s="2"/>
      <c r="C497" s="2">
        <v>0</v>
      </c>
      <c r="D497" s="2">
        <v>22600</v>
      </c>
      <c r="E497" s="2">
        <v>22006</v>
      </c>
      <c r="F497" s="2">
        <v>44606</v>
      </c>
      <c r="G497" s="2">
        <v>-44606</v>
      </c>
      <c r="H497" t="s">
        <v>227</v>
      </c>
      <c r="J497" s="68"/>
      <c r="K497" s="28"/>
      <c r="L497" s="28"/>
      <c r="M497" s="28"/>
      <c r="N497" s="28"/>
      <c r="O497" s="28"/>
      <c r="P497" s="29"/>
      <c r="Q497" s="54"/>
      <c r="R497" s="30"/>
    </row>
    <row r="498" spans="1:18" ht="15" hidden="1" customHeight="1" x14ac:dyDescent="0.3">
      <c r="A498" s="124">
        <v>45415</v>
      </c>
      <c r="B498" s="2">
        <v>92600</v>
      </c>
      <c r="C498" s="2">
        <v>92600</v>
      </c>
      <c r="D498" s="2">
        <v>38119</v>
      </c>
      <c r="E498" s="2">
        <v>8400</v>
      </c>
      <c r="F498" s="2">
        <v>46519</v>
      </c>
      <c r="G498" s="2">
        <v>46081</v>
      </c>
      <c r="H498"/>
      <c r="J498" s="68"/>
      <c r="K498" s="28"/>
      <c r="L498" s="28"/>
      <c r="M498" s="28"/>
      <c r="N498" s="28"/>
      <c r="O498" s="28"/>
      <c r="P498" s="29"/>
      <c r="Q498" s="54"/>
      <c r="R498" s="30"/>
    </row>
    <row r="499" spans="1:18" ht="15" hidden="1" customHeight="1" x14ac:dyDescent="0.3">
      <c r="A499" s="124">
        <v>45416</v>
      </c>
      <c r="B499" s="2">
        <v>45000</v>
      </c>
      <c r="C499" s="2">
        <v>45000</v>
      </c>
      <c r="D499" s="2">
        <v>375000</v>
      </c>
      <c r="E499" s="2"/>
      <c r="F499" s="2">
        <v>375000</v>
      </c>
      <c r="G499" s="2">
        <v>-330000</v>
      </c>
      <c r="H499" t="s">
        <v>212</v>
      </c>
      <c r="J499" s="68"/>
      <c r="K499" s="28"/>
      <c r="L499" s="28"/>
      <c r="M499" s="28"/>
      <c r="N499" s="28"/>
      <c r="O499" s="28"/>
      <c r="P499" s="29"/>
      <c r="Q499" s="54"/>
      <c r="R499" s="30"/>
    </row>
    <row r="500" spans="1:18" ht="15" hidden="1" customHeight="1" x14ac:dyDescent="0.3">
      <c r="A500" s="124">
        <v>45417</v>
      </c>
      <c r="B500" s="2"/>
      <c r="C500" s="2">
        <v>0</v>
      </c>
      <c r="D500" s="2"/>
      <c r="E500" s="2"/>
      <c r="F500" s="2">
        <v>0</v>
      </c>
      <c r="G500" s="2">
        <v>0</v>
      </c>
      <c r="H500"/>
      <c r="J500" s="68"/>
      <c r="K500" s="28"/>
      <c r="L500" s="28"/>
      <c r="M500" s="28"/>
      <c r="N500" s="28"/>
      <c r="O500" s="28"/>
      <c r="P500" s="29"/>
      <c r="Q500" s="54"/>
      <c r="R500" s="30"/>
    </row>
    <row r="501" spans="1:18" ht="15" hidden="1" customHeight="1" x14ac:dyDescent="0.3">
      <c r="A501" s="124">
        <v>45418</v>
      </c>
      <c r="B501" s="2"/>
      <c r="C501" s="2">
        <v>0</v>
      </c>
      <c r="D501" s="2"/>
      <c r="E501" s="2">
        <v>8000</v>
      </c>
      <c r="F501" s="2">
        <v>8000</v>
      </c>
      <c r="G501" s="2">
        <v>-8000</v>
      </c>
      <c r="H501"/>
      <c r="J501" s="68"/>
      <c r="K501" s="28"/>
      <c r="L501" s="28"/>
      <c r="M501" s="28"/>
      <c r="N501" s="28"/>
      <c r="O501" s="28"/>
      <c r="P501" s="29"/>
      <c r="Q501" s="54"/>
      <c r="R501" s="30"/>
    </row>
    <row r="502" spans="1:18" ht="15" hidden="1" customHeight="1" x14ac:dyDescent="0.3">
      <c r="A502" s="124">
        <v>45419</v>
      </c>
      <c r="B502" s="2"/>
      <c r="C502" s="2">
        <v>0</v>
      </c>
      <c r="D502" s="2"/>
      <c r="E502" s="2">
        <v>78125</v>
      </c>
      <c r="F502" s="2">
        <v>78125</v>
      </c>
      <c r="G502" s="2">
        <v>-78125</v>
      </c>
      <c r="H502"/>
      <c r="J502" s="68"/>
      <c r="K502" s="28"/>
      <c r="L502" s="28"/>
      <c r="M502" s="28"/>
      <c r="N502" s="28"/>
      <c r="O502" s="28"/>
      <c r="P502" s="29"/>
      <c r="Q502" s="54"/>
      <c r="R502" s="30"/>
    </row>
    <row r="503" spans="1:18" ht="15" hidden="1" customHeight="1" x14ac:dyDescent="0.3">
      <c r="A503" s="124">
        <v>45420</v>
      </c>
      <c r="B503" s="2"/>
      <c r="C503" s="2">
        <v>0</v>
      </c>
      <c r="D503" s="2">
        <v>31954</v>
      </c>
      <c r="E503" s="2">
        <v>31401.719999999998</v>
      </c>
      <c r="F503" s="2">
        <v>63355.72</v>
      </c>
      <c r="G503" s="2">
        <v>-63355.72</v>
      </c>
      <c r="H503"/>
      <c r="J503" s="68"/>
      <c r="K503" s="28"/>
      <c r="L503" s="28"/>
      <c r="M503" s="28"/>
      <c r="N503" s="28"/>
      <c r="O503" s="28"/>
      <c r="P503" s="29"/>
      <c r="Q503" s="54"/>
      <c r="R503" s="30"/>
    </row>
    <row r="504" spans="1:18" ht="15" hidden="1" customHeight="1" x14ac:dyDescent="0.3">
      <c r="A504" s="124">
        <v>45421</v>
      </c>
      <c r="B504" s="2"/>
      <c r="C504" s="2">
        <v>0</v>
      </c>
      <c r="D504" s="2"/>
      <c r="E504" s="2"/>
      <c r="F504" s="2">
        <v>0</v>
      </c>
      <c r="G504" s="2">
        <v>0</v>
      </c>
      <c r="H504"/>
      <c r="J504" s="68"/>
      <c r="K504" s="28"/>
      <c r="L504" s="28"/>
      <c r="M504" s="28"/>
      <c r="N504" s="28"/>
      <c r="O504" s="28"/>
      <c r="P504" s="29"/>
      <c r="Q504" s="54"/>
      <c r="R504" s="30"/>
    </row>
    <row r="505" spans="1:18" ht="15" hidden="1" customHeight="1" x14ac:dyDescent="0.3">
      <c r="A505" s="124">
        <v>45422</v>
      </c>
      <c r="B505" s="2">
        <v>133200</v>
      </c>
      <c r="C505" s="2">
        <v>133200</v>
      </c>
      <c r="D505" s="2">
        <v>3984</v>
      </c>
      <c r="E505" s="2">
        <v>6300</v>
      </c>
      <c r="F505" s="2">
        <v>10284</v>
      </c>
      <c r="G505" s="2">
        <v>122916</v>
      </c>
      <c r="H505"/>
      <c r="J505" s="68"/>
      <c r="K505" s="28"/>
      <c r="L505" s="28"/>
      <c r="M505" s="28"/>
      <c r="N505" s="28"/>
      <c r="O505" s="28"/>
      <c r="P505" s="29"/>
      <c r="Q505" s="54"/>
      <c r="R505" s="30"/>
    </row>
    <row r="506" spans="1:18" ht="15" hidden="1" customHeight="1" x14ac:dyDescent="0.3">
      <c r="A506" s="124">
        <v>45423</v>
      </c>
      <c r="B506" s="2">
        <v>88000</v>
      </c>
      <c r="C506" s="2">
        <v>88000</v>
      </c>
      <c r="D506" s="2"/>
      <c r="E506" s="2">
        <v>27340</v>
      </c>
      <c r="F506" s="2">
        <v>27340</v>
      </c>
      <c r="G506" s="2">
        <v>60660</v>
      </c>
      <c r="H506"/>
      <c r="J506" s="68"/>
      <c r="K506" s="28"/>
      <c r="L506" s="28"/>
      <c r="M506" s="28"/>
      <c r="N506" s="28"/>
      <c r="O506" s="28"/>
      <c r="P506" s="29"/>
      <c r="Q506" s="54"/>
      <c r="R506" s="30"/>
    </row>
    <row r="507" spans="1:18" ht="15" hidden="1" customHeight="1" x14ac:dyDescent="0.3">
      <c r="A507" s="124">
        <v>45424</v>
      </c>
      <c r="B507" s="2">
        <v>213000</v>
      </c>
      <c r="C507" s="2">
        <v>213000</v>
      </c>
      <c r="D507" s="2"/>
      <c r="E507" s="2"/>
      <c r="F507" s="2">
        <v>0</v>
      </c>
      <c r="G507" s="2">
        <v>213000</v>
      </c>
      <c r="H507"/>
      <c r="J507" s="68"/>
      <c r="K507" s="28"/>
      <c r="L507" s="28"/>
      <c r="M507" s="28"/>
      <c r="N507" s="28"/>
      <c r="O507" s="28"/>
      <c r="P507" s="29"/>
      <c r="Q507" s="54"/>
      <c r="R507" s="30"/>
    </row>
    <row r="508" spans="1:18" ht="15" hidden="1" customHeight="1" x14ac:dyDescent="0.3">
      <c r="A508" s="124">
        <v>45425</v>
      </c>
      <c r="B508" s="2"/>
      <c r="C508" s="2">
        <v>0</v>
      </c>
      <c r="D508" s="2">
        <v>42854</v>
      </c>
      <c r="E508" s="2">
        <v>182945</v>
      </c>
      <c r="F508" s="2">
        <v>225799</v>
      </c>
      <c r="G508" s="2">
        <v>-225799</v>
      </c>
      <c r="H508"/>
      <c r="J508" s="68"/>
      <c r="K508" s="28"/>
      <c r="L508" s="28"/>
      <c r="M508" s="28"/>
      <c r="N508" s="28"/>
      <c r="O508" s="28"/>
      <c r="P508" s="29"/>
      <c r="Q508" s="54"/>
      <c r="R508" s="30"/>
    </row>
    <row r="509" spans="1:18" ht="15" hidden="1" customHeight="1" x14ac:dyDescent="0.3">
      <c r="A509" s="124">
        <v>45426</v>
      </c>
      <c r="B509" s="2">
        <v>23500</v>
      </c>
      <c r="C509" s="2">
        <v>23500</v>
      </c>
      <c r="D509" s="2"/>
      <c r="E509" s="2">
        <v>6360</v>
      </c>
      <c r="F509" s="2">
        <v>6360</v>
      </c>
      <c r="G509" s="2">
        <v>17140</v>
      </c>
      <c r="H509"/>
      <c r="J509" s="68"/>
      <c r="K509" s="28"/>
      <c r="L509" s="28"/>
      <c r="M509" s="28"/>
      <c r="N509" s="28"/>
      <c r="O509" s="28"/>
      <c r="P509" s="29"/>
      <c r="Q509" s="54"/>
      <c r="R509" s="30"/>
    </row>
    <row r="510" spans="1:18" ht="15" hidden="1" customHeight="1" x14ac:dyDescent="0.3">
      <c r="A510" s="124">
        <v>45427</v>
      </c>
      <c r="B510" s="2"/>
      <c r="C510" s="2">
        <v>0</v>
      </c>
      <c r="D510" s="2">
        <v>9590</v>
      </c>
      <c r="E510" s="2">
        <v>22422</v>
      </c>
      <c r="F510" s="2">
        <v>32012</v>
      </c>
      <c r="G510" s="2">
        <v>-32012</v>
      </c>
      <c r="H510"/>
      <c r="J510" s="68"/>
      <c r="K510" s="28"/>
      <c r="L510" s="28"/>
      <c r="M510" s="28"/>
      <c r="N510" s="28"/>
      <c r="O510" s="28"/>
      <c r="P510" s="29"/>
      <c r="Q510" s="54"/>
      <c r="R510" s="30"/>
    </row>
    <row r="511" spans="1:18" ht="15" hidden="1" customHeight="1" x14ac:dyDescent="0.3">
      <c r="A511" s="124">
        <v>45428</v>
      </c>
      <c r="B511" s="2">
        <v>163625</v>
      </c>
      <c r="C511" s="2">
        <v>163625</v>
      </c>
      <c r="D511" s="2"/>
      <c r="E511" s="2">
        <v>18491</v>
      </c>
      <c r="F511" s="2">
        <v>18491</v>
      </c>
      <c r="G511" s="2">
        <v>145134</v>
      </c>
      <c r="H511"/>
      <c r="J511" s="68"/>
      <c r="K511" s="28"/>
      <c r="L511" s="28"/>
      <c r="M511" s="28"/>
      <c r="N511" s="28"/>
      <c r="O511" s="28"/>
      <c r="P511" s="29"/>
      <c r="Q511" s="54"/>
      <c r="R511" s="30"/>
    </row>
    <row r="512" spans="1:18" ht="15" hidden="1" customHeight="1" x14ac:dyDescent="0.3">
      <c r="A512" s="124">
        <v>45429</v>
      </c>
      <c r="B512" s="2"/>
      <c r="C512" s="2">
        <v>0</v>
      </c>
      <c r="D512" s="2">
        <v>33808</v>
      </c>
      <c r="E512" s="2">
        <v>4770</v>
      </c>
      <c r="F512" s="2">
        <v>38578</v>
      </c>
      <c r="G512" s="2">
        <v>-38578</v>
      </c>
      <c r="H512"/>
      <c r="J512" s="68"/>
      <c r="K512" s="28"/>
      <c r="L512" s="28"/>
      <c r="M512" s="28"/>
      <c r="N512" s="28"/>
      <c r="O512" s="28"/>
      <c r="P512" s="29"/>
      <c r="Q512" s="54"/>
      <c r="R512" s="30"/>
    </row>
    <row r="513" spans="1:18" ht="15" hidden="1" customHeight="1" x14ac:dyDescent="0.3">
      <c r="A513" s="124">
        <v>45430</v>
      </c>
      <c r="B513" s="2">
        <v>151725</v>
      </c>
      <c r="C513" s="2">
        <v>151725</v>
      </c>
      <c r="D513" s="2"/>
      <c r="E513" s="2"/>
      <c r="F513" s="2">
        <v>0</v>
      </c>
      <c r="G513" s="2">
        <v>151725</v>
      </c>
      <c r="H513"/>
      <c r="J513" s="68"/>
      <c r="K513" s="28"/>
      <c r="L513" s="28"/>
      <c r="M513" s="28"/>
      <c r="N513" s="28"/>
      <c r="O513" s="28"/>
      <c r="P513" s="29"/>
      <c r="Q513" s="54"/>
      <c r="R513" s="30"/>
    </row>
    <row r="514" spans="1:18" ht="15" hidden="1" customHeight="1" x14ac:dyDescent="0.3">
      <c r="A514" s="124">
        <v>45431</v>
      </c>
      <c r="B514" s="2"/>
      <c r="C514" s="2">
        <v>0</v>
      </c>
      <c r="D514" s="2"/>
      <c r="E514" s="2"/>
      <c r="F514" s="2">
        <v>0</v>
      </c>
      <c r="G514" s="2">
        <v>0</v>
      </c>
      <c r="H514"/>
      <c r="J514" s="68"/>
      <c r="K514" s="28"/>
      <c r="L514" s="28"/>
      <c r="M514" s="28"/>
      <c r="N514" s="28"/>
      <c r="O514" s="28"/>
      <c r="P514" s="29"/>
      <c r="Q514" s="54"/>
      <c r="R514" s="30"/>
    </row>
    <row r="515" spans="1:18" ht="15" hidden="1" customHeight="1" x14ac:dyDescent="0.3">
      <c r="A515" s="124">
        <v>45432</v>
      </c>
      <c r="B515" s="2"/>
      <c r="C515" s="2">
        <v>0</v>
      </c>
      <c r="D515" s="2">
        <v>21900</v>
      </c>
      <c r="E515" s="2"/>
      <c r="F515" s="2">
        <v>21900</v>
      </c>
      <c r="G515" s="2">
        <v>-21900</v>
      </c>
      <c r="H515" t="s">
        <v>218</v>
      </c>
      <c r="J515" s="68"/>
      <c r="K515" s="28"/>
      <c r="L515" s="28"/>
      <c r="M515" s="28"/>
      <c r="N515" s="28"/>
      <c r="O515" s="28"/>
      <c r="P515" s="29"/>
      <c r="Q515" s="54"/>
      <c r="R515" s="30"/>
    </row>
    <row r="516" spans="1:18" ht="15" hidden="1" customHeight="1" x14ac:dyDescent="0.3">
      <c r="A516" s="124">
        <v>45433</v>
      </c>
      <c r="B516" s="2"/>
      <c r="C516" s="2">
        <v>0</v>
      </c>
      <c r="D516" s="2"/>
      <c r="E516" s="2">
        <v>10800</v>
      </c>
      <c r="F516" s="2">
        <v>10800</v>
      </c>
      <c r="G516" s="2">
        <v>-10800</v>
      </c>
      <c r="H516"/>
      <c r="J516" s="68"/>
      <c r="K516" s="28"/>
      <c r="L516" s="28"/>
      <c r="M516" s="28"/>
      <c r="N516" s="28"/>
      <c r="O516" s="28"/>
      <c r="P516" s="29"/>
      <c r="Q516" s="54"/>
      <c r="R516" s="30"/>
    </row>
    <row r="517" spans="1:18" ht="15" hidden="1" customHeight="1" x14ac:dyDescent="0.3">
      <c r="A517" s="124">
        <v>45434</v>
      </c>
      <c r="B517" s="2">
        <v>43500</v>
      </c>
      <c r="C517" s="2">
        <v>43500</v>
      </c>
      <c r="D517" s="2"/>
      <c r="E517" s="2">
        <v>2000</v>
      </c>
      <c r="F517" s="2">
        <v>2000</v>
      </c>
      <c r="G517" s="2">
        <v>41500</v>
      </c>
      <c r="H517"/>
      <c r="J517" s="68"/>
      <c r="K517" s="28"/>
      <c r="L517" s="28"/>
      <c r="M517" s="28"/>
      <c r="N517" s="28"/>
      <c r="O517" s="28"/>
      <c r="P517" s="29"/>
      <c r="Q517" s="54"/>
      <c r="R517" s="30"/>
    </row>
    <row r="518" spans="1:18" ht="15" hidden="1" customHeight="1" x14ac:dyDescent="0.3">
      <c r="A518" s="124">
        <v>45435</v>
      </c>
      <c r="B518" s="2">
        <v>39400</v>
      </c>
      <c r="C518" s="2">
        <v>39400</v>
      </c>
      <c r="D518" s="2"/>
      <c r="E518" s="2"/>
      <c r="F518" s="2">
        <v>0</v>
      </c>
      <c r="G518" s="2">
        <v>39400</v>
      </c>
      <c r="H518"/>
      <c r="J518" s="68"/>
      <c r="K518" s="28"/>
      <c r="L518" s="28"/>
      <c r="M518" s="28"/>
      <c r="N518" s="28"/>
      <c r="O518" s="28"/>
      <c r="P518" s="29"/>
      <c r="Q518" s="54"/>
      <c r="R518" s="30"/>
    </row>
    <row r="519" spans="1:18" ht="15" hidden="1" customHeight="1" x14ac:dyDescent="0.3">
      <c r="A519" s="124">
        <v>45436</v>
      </c>
      <c r="B519" s="2"/>
      <c r="C519" s="2">
        <v>0</v>
      </c>
      <c r="D519" s="2">
        <v>32323</v>
      </c>
      <c r="E519" s="2">
        <v>168949</v>
      </c>
      <c r="F519" s="2">
        <v>201272</v>
      </c>
      <c r="G519" s="2">
        <v>-201272</v>
      </c>
      <c r="H519"/>
      <c r="J519" s="68"/>
      <c r="K519" s="28"/>
      <c r="L519" s="28"/>
      <c r="M519" s="28"/>
      <c r="N519" s="28"/>
      <c r="O519" s="28"/>
      <c r="P519" s="29"/>
      <c r="Q519" s="54"/>
      <c r="R519" s="30"/>
    </row>
    <row r="520" spans="1:18" ht="15" hidden="1" customHeight="1" x14ac:dyDescent="0.3">
      <c r="A520" s="124">
        <v>45437</v>
      </c>
      <c r="B520" s="2">
        <v>1350000</v>
      </c>
      <c r="C520" s="2">
        <v>1350000</v>
      </c>
      <c r="D520" s="2">
        <v>5990</v>
      </c>
      <c r="E520" s="2">
        <v>32872</v>
      </c>
      <c r="F520" s="2">
        <v>38862</v>
      </c>
      <c r="G520" s="2">
        <v>1311138</v>
      </c>
      <c r="H520"/>
      <c r="J520" s="68"/>
      <c r="K520" s="28"/>
      <c r="L520" s="28"/>
      <c r="M520" s="28"/>
      <c r="N520" s="28"/>
      <c r="O520" s="28"/>
      <c r="P520" s="29"/>
      <c r="Q520" s="54"/>
      <c r="R520" s="30"/>
    </row>
    <row r="521" spans="1:18" ht="15" hidden="1" customHeight="1" x14ac:dyDescent="0.3">
      <c r="A521" s="124">
        <v>45438</v>
      </c>
      <c r="B521" s="2"/>
      <c r="C521" s="2">
        <v>0</v>
      </c>
      <c r="D521" s="2">
        <v>15000</v>
      </c>
      <c r="E521" s="2"/>
      <c r="F521" s="2">
        <v>15000</v>
      </c>
      <c r="G521" s="2">
        <v>-15000</v>
      </c>
      <c r="H521"/>
      <c r="J521" s="68"/>
      <c r="K521" s="28"/>
      <c r="L521" s="28"/>
      <c r="M521" s="28"/>
      <c r="N521" s="28"/>
      <c r="O521" s="28"/>
      <c r="P521" s="29"/>
      <c r="Q521" s="54"/>
      <c r="R521" s="30"/>
    </row>
    <row r="522" spans="1:18" ht="15" hidden="1" customHeight="1" x14ac:dyDescent="0.3">
      <c r="A522" s="124">
        <v>45439</v>
      </c>
      <c r="B522" s="2"/>
      <c r="C522" s="2">
        <v>0</v>
      </c>
      <c r="D522" s="2"/>
      <c r="E522" s="2">
        <v>72555</v>
      </c>
      <c r="F522" s="2">
        <v>72555</v>
      </c>
      <c r="G522" s="2">
        <v>-72555</v>
      </c>
      <c r="H522"/>
      <c r="J522" s="68"/>
      <c r="K522" s="28"/>
      <c r="L522" s="28"/>
      <c r="M522" s="28"/>
      <c r="N522" s="28"/>
      <c r="O522" s="28"/>
      <c r="P522" s="29"/>
      <c r="Q522" s="54"/>
      <c r="R522" s="30"/>
    </row>
    <row r="523" spans="1:18" ht="15" hidden="1" customHeight="1" x14ac:dyDescent="0.3">
      <c r="A523" s="124">
        <v>45440</v>
      </c>
      <c r="B523" s="2">
        <v>928930</v>
      </c>
      <c r="C523" s="2">
        <v>928930</v>
      </c>
      <c r="D523" s="2">
        <v>19900</v>
      </c>
      <c r="E523" s="2">
        <v>6325</v>
      </c>
      <c r="F523" s="2">
        <v>26225</v>
      </c>
      <c r="G523" s="2">
        <v>902705</v>
      </c>
      <c r="H523" t="s">
        <v>227</v>
      </c>
      <c r="J523" s="68"/>
      <c r="K523" s="28"/>
      <c r="L523" s="28"/>
      <c r="M523" s="28"/>
      <c r="N523" s="28"/>
      <c r="O523" s="28"/>
      <c r="P523" s="29"/>
      <c r="Q523" s="54"/>
      <c r="R523" s="30"/>
    </row>
    <row r="524" spans="1:18" ht="15" hidden="1" customHeight="1" x14ac:dyDescent="0.3">
      <c r="A524" s="124">
        <v>45441</v>
      </c>
      <c r="B524" s="2">
        <v>546210</v>
      </c>
      <c r="C524" s="2">
        <v>546210</v>
      </c>
      <c r="D524" s="2">
        <v>70000</v>
      </c>
      <c r="E524" s="2">
        <v>27960</v>
      </c>
      <c r="F524" s="2">
        <v>97960</v>
      </c>
      <c r="G524" s="2">
        <v>448250</v>
      </c>
      <c r="H524"/>
      <c r="J524" s="68"/>
      <c r="K524" s="28"/>
      <c r="L524" s="28"/>
      <c r="M524" s="28"/>
      <c r="N524" s="28"/>
      <c r="O524" s="28"/>
      <c r="P524" s="29"/>
      <c r="Q524" s="54"/>
      <c r="R524" s="30"/>
    </row>
    <row r="525" spans="1:18" ht="15" hidden="1" customHeight="1" x14ac:dyDescent="0.3">
      <c r="A525" s="124">
        <v>45442</v>
      </c>
      <c r="B525" s="2">
        <v>190400</v>
      </c>
      <c r="C525" s="2">
        <v>190400</v>
      </c>
      <c r="D525" s="2">
        <v>95000</v>
      </c>
      <c r="E525" s="2">
        <v>34499</v>
      </c>
      <c r="F525" s="2">
        <v>129499</v>
      </c>
      <c r="G525" s="2">
        <v>60901</v>
      </c>
      <c r="H525"/>
      <c r="J525" s="68"/>
      <c r="K525" s="28"/>
      <c r="L525" s="28"/>
      <c r="M525" s="28"/>
      <c r="N525" s="28"/>
      <c r="O525" s="28"/>
      <c r="P525" s="29"/>
      <c r="Q525" s="54"/>
      <c r="R525" s="30"/>
    </row>
    <row r="526" spans="1:18" ht="15" hidden="1" customHeight="1" x14ac:dyDescent="0.3">
      <c r="A526" s="124">
        <v>45443</v>
      </c>
      <c r="B526" s="2">
        <v>102400</v>
      </c>
      <c r="C526" s="2">
        <v>102400</v>
      </c>
      <c r="D526" s="2">
        <v>110336</v>
      </c>
      <c r="E526" s="2">
        <v>2000</v>
      </c>
      <c r="F526" s="2">
        <v>112336</v>
      </c>
      <c r="G526" s="2">
        <v>-9936</v>
      </c>
      <c r="H526"/>
      <c r="J526" s="68"/>
      <c r="K526" s="28"/>
      <c r="L526" s="28"/>
      <c r="M526" s="28"/>
      <c r="N526" s="28"/>
      <c r="O526" s="28"/>
      <c r="P526" s="29"/>
      <c r="Q526" s="54"/>
      <c r="R526" s="30"/>
    </row>
    <row r="527" spans="1:18" ht="15" hidden="1" customHeight="1" x14ac:dyDescent="0.3">
      <c r="A527" s="124" t="s">
        <v>235</v>
      </c>
      <c r="B527" s="2">
        <v>4111490</v>
      </c>
      <c r="C527" s="2">
        <v>4111490</v>
      </c>
      <c r="D527" s="2">
        <v>940358</v>
      </c>
      <c r="E527" s="2">
        <v>774520.72</v>
      </c>
      <c r="F527" s="2">
        <v>1714878.72</v>
      </c>
      <c r="G527" s="2">
        <v>2396611.2800000003</v>
      </c>
      <c r="H527"/>
      <c r="J527" s="68"/>
      <c r="K527" s="28"/>
      <c r="L527" s="28"/>
      <c r="M527" s="28"/>
      <c r="N527" s="28"/>
      <c r="O527" s="28"/>
      <c r="P527" s="29"/>
      <c r="Q527" s="54"/>
      <c r="R527" s="30"/>
    </row>
    <row r="528" spans="1:18" ht="15" hidden="1" customHeight="1" x14ac:dyDescent="0.3">
      <c r="A528" s="124"/>
      <c r="B528" s="2"/>
      <c r="C528" s="2"/>
      <c r="D528" s="2"/>
      <c r="E528" s="2"/>
      <c r="F528" s="2"/>
      <c r="G528" s="2"/>
      <c r="H528"/>
      <c r="J528" s="68"/>
      <c r="K528" s="28"/>
      <c r="L528" s="28"/>
      <c r="M528" s="28"/>
      <c r="N528" s="28"/>
      <c r="O528" s="28"/>
      <c r="P528" s="29"/>
      <c r="Q528" s="54"/>
      <c r="R528" s="30"/>
    </row>
    <row r="529" spans="1:18" ht="15" hidden="1" customHeight="1" x14ac:dyDescent="0.3">
      <c r="A529" s="124"/>
      <c r="B529" s="2"/>
      <c r="C529" s="2"/>
      <c r="D529" s="2"/>
      <c r="E529" s="2"/>
      <c r="F529" s="2"/>
      <c r="G529" s="2"/>
      <c r="H529"/>
      <c r="J529" s="68"/>
      <c r="K529" s="28"/>
      <c r="L529" s="28"/>
      <c r="M529" s="28"/>
      <c r="N529" s="28"/>
      <c r="O529" s="28"/>
      <c r="P529" s="29"/>
      <c r="Q529" s="54"/>
      <c r="R529" s="30"/>
    </row>
    <row r="530" spans="1:18" ht="15" hidden="1" customHeight="1" x14ac:dyDescent="0.3">
      <c r="A530" s="124"/>
      <c r="B530" s="2"/>
      <c r="C530" s="2"/>
      <c r="D530" s="2"/>
      <c r="E530" s="2"/>
      <c r="F530" s="2"/>
      <c r="G530" s="2"/>
      <c r="H530"/>
      <c r="J530" s="68"/>
      <c r="K530" s="28"/>
      <c r="L530" s="28"/>
      <c r="M530" s="28"/>
      <c r="N530" s="28"/>
      <c r="O530" s="28"/>
      <c r="P530" s="29"/>
      <c r="Q530" s="54"/>
      <c r="R530" s="30"/>
    </row>
    <row r="531" spans="1:18" ht="15" hidden="1" customHeight="1" x14ac:dyDescent="0.3">
      <c r="A531" s="124">
        <v>45383</v>
      </c>
      <c r="B531" s="2">
        <v>33000</v>
      </c>
      <c r="C531" s="2">
        <f>B531</f>
        <v>33000</v>
      </c>
      <c r="D531" s="2">
        <v>34004</v>
      </c>
      <c r="E531" s="2"/>
      <c r="F531" s="2">
        <f>D531+E531</f>
        <v>34004</v>
      </c>
      <c r="G531" s="2">
        <f>C531-F531</f>
        <v>-1004</v>
      </c>
      <c r="H531" s="23"/>
      <c r="J531" s="68"/>
      <c r="K531" s="28"/>
      <c r="L531" s="28"/>
      <c r="M531" s="28"/>
      <c r="N531" s="28"/>
      <c r="O531" s="28"/>
      <c r="P531" s="29"/>
      <c r="Q531" s="54"/>
      <c r="R531" s="30"/>
    </row>
    <row r="532" spans="1:18" ht="15" hidden="1" customHeight="1" x14ac:dyDescent="0.3">
      <c r="A532" s="124">
        <v>45384</v>
      </c>
      <c r="B532" s="2"/>
      <c r="C532" s="2">
        <f t="shared" ref="C532:C560" si="30">B532</f>
        <v>0</v>
      </c>
      <c r="D532" s="2">
        <f>36418+61900</f>
        <v>98318</v>
      </c>
      <c r="E532" s="2"/>
      <c r="F532" s="2">
        <f t="shared" ref="F532:F560" si="31">D532+E532</f>
        <v>98318</v>
      </c>
      <c r="G532" s="2">
        <f t="shared" ref="G532:G561" si="32">C532-F532</f>
        <v>-98318</v>
      </c>
      <c r="H532" s="90"/>
      <c r="J532" s="68"/>
      <c r="K532" s="28"/>
      <c r="L532" s="28"/>
      <c r="M532" s="28"/>
      <c r="N532" s="28"/>
      <c r="O532" s="28"/>
      <c r="P532" s="29"/>
      <c r="Q532" s="54"/>
      <c r="R532" s="30"/>
    </row>
    <row r="533" spans="1:18" ht="15" hidden="1" customHeight="1" x14ac:dyDescent="0.3">
      <c r="A533" s="124">
        <v>45385</v>
      </c>
      <c r="B533" s="2">
        <v>300005</v>
      </c>
      <c r="C533" s="2">
        <f t="shared" si="30"/>
        <v>300005</v>
      </c>
      <c r="D533" s="2">
        <v>40000</v>
      </c>
      <c r="E533" s="2">
        <f>96469+134921</f>
        <v>231390</v>
      </c>
      <c r="F533" s="2">
        <f t="shared" si="31"/>
        <v>271390</v>
      </c>
      <c r="G533" s="2">
        <f t="shared" si="32"/>
        <v>28615</v>
      </c>
      <c r="H533" s="23"/>
      <c r="J533" s="68"/>
      <c r="K533" s="28"/>
      <c r="L533" s="28"/>
      <c r="M533" s="28"/>
      <c r="N533" s="28"/>
      <c r="O533" s="28"/>
      <c r="P533" s="29"/>
      <c r="Q533" s="54"/>
      <c r="R533" s="30"/>
    </row>
    <row r="534" spans="1:18" ht="15" hidden="1" customHeight="1" x14ac:dyDescent="0.3">
      <c r="A534" s="124">
        <v>45386</v>
      </c>
      <c r="B534" s="2"/>
      <c r="C534" s="2">
        <f t="shared" si="30"/>
        <v>0</v>
      </c>
      <c r="D534" s="2">
        <v>14450</v>
      </c>
      <c r="E534" s="2">
        <v>124988</v>
      </c>
      <c r="F534" s="2">
        <f t="shared" si="31"/>
        <v>139438</v>
      </c>
      <c r="G534" s="2">
        <f t="shared" si="32"/>
        <v>-139438</v>
      </c>
      <c r="H534" s="23" t="s">
        <v>218</v>
      </c>
      <c r="J534" s="68"/>
      <c r="K534" s="28"/>
      <c r="L534" s="28"/>
      <c r="M534" s="28"/>
      <c r="N534" s="28"/>
      <c r="O534" s="28"/>
      <c r="P534" s="29"/>
      <c r="Q534" s="54"/>
      <c r="R534" s="30"/>
    </row>
    <row r="535" spans="1:18" ht="15" hidden="1" customHeight="1" x14ac:dyDescent="0.3">
      <c r="A535" s="124">
        <v>45387</v>
      </c>
      <c r="B535" s="2">
        <v>19800</v>
      </c>
      <c r="C535" s="2">
        <f t="shared" si="30"/>
        <v>19800</v>
      </c>
      <c r="D535" s="2">
        <v>342290</v>
      </c>
      <c r="E535" s="2">
        <v>23300</v>
      </c>
      <c r="F535" s="2">
        <f t="shared" si="31"/>
        <v>365590</v>
      </c>
      <c r="G535" s="2">
        <f t="shared" si="32"/>
        <v>-345790</v>
      </c>
      <c r="H535" s="23" t="s">
        <v>230</v>
      </c>
      <c r="J535" s="68"/>
      <c r="K535" s="28"/>
      <c r="L535" s="28"/>
      <c r="M535" s="28"/>
      <c r="N535" s="28"/>
      <c r="O535" s="28"/>
      <c r="P535" s="29"/>
      <c r="Q535" s="54"/>
      <c r="R535" s="30"/>
    </row>
    <row r="536" spans="1:18" ht="15" hidden="1" customHeight="1" x14ac:dyDescent="0.3">
      <c r="A536" s="124">
        <v>45388</v>
      </c>
      <c r="B536" s="2">
        <v>2830000</v>
      </c>
      <c r="C536" s="2">
        <f t="shared" si="30"/>
        <v>2830000</v>
      </c>
      <c r="D536" s="2">
        <v>77137</v>
      </c>
      <c r="E536" s="2">
        <v>28130</v>
      </c>
      <c r="F536" s="2">
        <f t="shared" si="31"/>
        <v>105267</v>
      </c>
      <c r="G536" s="2">
        <f t="shared" si="32"/>
        <v>2724733</v>
      </c>
      <c r="H536" s="23"/>
      <c r="J536" s="68"/>
      <c r="K536" s="28"/>
      <c r="L536" s="28"/>
      <c r="M536" s="28"/>
      <c r="N536" s="28"/>
      <c r="O536" s="28"/>
      <c r="P536" s="29"/>
      <c r="Q536" s="54"/>
      <c r="R536" s="30"/>
    </row>
    <row r="537" spans="1:18" ht="15" hidden="1" customHeight="1" x14ac:dyDescent="0.3">
      <c r="A537" s="124">
        <v>45389</v>
      </c>
      <c r="B537" s="2"/>
      <c r="C537" s="2">
        <f t="shared" si="30"/>
        <v>0</v>
      </c>
      <c r="D537" s="2">
        <v>320000</v>
      </c>
      <c r="E537" s="2"/>
      <c r="F537" s="2">
        <f t="shared" si="31"/>
        <v>320000</v>
      </c>
      <c r="G537" s="2">
        <f t="shared" si="32"/>
        <v>-320000</v>
      </c>
      <c r="H537" s="23"/>
      <c r="J537" s="68"/>
      <c r="K537" s="28"/>
      <c r="L537" s="28"/>
      <c r="M537" s="28"/>
      <c r="N537" s="28"/>
      <c r="O537" s="28"/>
      <c r="P537" s="29"/>
      <c r="Q537" s="54"/>
      <c r="R537" s="30"/>
    </row>
    <row r="538" spans="1:18" ht="15" hidden="1" customHeight="1" x14ac:dyDescent="0.3">
      <c r="A538" s="124">
        <v>45390</v>
      </c>
      <c r="B538" s="2"/>
      <c r="C538" s="2">
        <f t="shared" si="30"/>
        <v>0</v>
      </c>
      <c r="D538" s="2">
        <v>62940</v>
      </c>
      <c r="E538" s="2">
        <v>10838</v>
      </c>
      <c r="F538" s="2">
        <f t="shared" si="31"/>
        <v>73778</v>
      </c>
      <c r="G538" s="2">
        <f t="shared" si="32"/>
        <v>-73778</v>
      </c>
      <c r="H538" s="23" t="s">
        <v>227</v>
      </c>
      <c r="J538" s="68"/>
      <c r="K538" s="28"/>
      <c r="L538" s="28"/>
      <c r="M538" s="28"/>
      <c r="N538" s="28"/>
      <c r="O538" s="28"/>
      <c r="P538" s="29"/>
      <c r="Q538" s="54"/>
      <c r="R538" s="30"/>
    </row>
    <row r="539" spans="1:18" ht="15" hidden="1" customHeight="1" x14ac:dyDescent="0.3">
      <c r="A539" s="124">
        <v>45391</v>
      </c>
      <c r="B539" s="2">
        <v>109500</v>
      </c>
      <c r="C539" s="2">
        <f t="shared" si="30"/>
        <v>109500</v>
      </c>
      <c r="D539" s="2">
        <v>516980</v>
      </c>
      <c r="E539" s="2">
        <v>40606</v>
      </c>
      <c r="F539" s="2">
        <f t="shared" si="31"/>
        <v>557586</v>
      </c>
      <c r="G539" s="2">
        <f t="shared" si="32"/>
        <v>-448086</v>
      </c>
      <c r="H539" s="23" t="s">
        <v>232</v>
      </c>
      <c r="J539" s="68"/>
      <c r="K539" s="28"/>
      <c r="L539" s="28"/>
      <c r="M539" s="28"/>
      <c r="N539" s="28"/>
      <c r="O539" s="28"/>
      <c r="P539" s="29"/>
      <c r="Q539" s="54"/>
      <c r="R539" s="30"/>
    </row>
    <row r="540" spans="1:18" ht="15" hidden="1" customHeight="1" x14ac:dyDescent="0.3">
      <c r="A540" s="124">
        <v>45392</v>
      </c>
      <c r="B540" s="2"/>
      <c r="C540" s="2">
        <f t="shared" si="30"/>
        <v>0</v>
      </c>
      <c r="D540" s="2">
        <v>29086</v>
      </c>
      <c r="E540" s="2"/>
      <c r="F540" s="2">
        <f t="shared" si="31"/>
        <v>29086</v>
      </c>
      <c r="G540" s="2">
        <f t="shared" si="32"/>
        <v>-29086</v>
      </c>
      <c r="H540" s="135"/>
      <c r="J540" s="68"/>
      <c r="K540" s="28"/>
      <c r="L540" s="28"/>
      <c r="M540" s="28"/>
      <c r="N540" s="28"/>
      <c r="O540" s="28"/>
      <c r="P540" s="29"/>
      <c r="Q540" s="54"/>
      <c r="R540" s="30"/>
    </row>
    <row r="541" spans="1:18" ht="15" hidden="1" customHeight="1" x14ac:dyDescent="0.3">
      <c r="A541" s="124">
        <v>45393</v>
      </c>
      <c r="B541" s="2">
        <v>125000</v>
      </c>
      <c r="C541" s="2">
        <f t="shared" si="30"/>
        <v>125000</v>
      </c>
      <c r="D541" s="2">
        <v>105300</v>
      </c>
      <c r="E541" s="2">
        <v>5000</v>
      </c>
      <c r="F541" s="2">
        <f t="shared" si="31"/>
        <v>110300</v>
      </c>
      <c r="G541" s="2">
        <f t="shared" si="32"/>
        <v>14700</v>
      </c>
      <c r="H541" s="23"/>
      <c r="J541" s="68"/>
      <c r="K541" s="28"/>
      <c r="L541" s="28"/>
      <c r="M541" s="28"/>
      <c r="N541" s="28"/>
      <c r="O541" s="28"/>
      <c r="P541" s="29"/>
      <c r="Q541" s="54"/>
      <c r="R541" s="30"/>
    </row>
    <row r="542" spans="1:18" ht="15" hidden="1" customHeight="1" x14ac:dyDescent="0.3">
      <c r="A542" s="124">
        <v>45394</v>
      </c>
      <c r="B542" s="2"/>
      <c r="C542" s="2">
        <f t="shared" si="30"/>
        <v>0</v>
      </c>
      <c r="D542" s="2"/>
      <c r="E542" s="2">
        <v>38820</v>
      </c>
      <c r="F542" s="2">
        <f t="shared" si="31"/>
        <v>38820</v>
      </c>
      <c r="G542" s="2">
        <f t="shared" si="32"/>
        <v>-38820</v>
      </c>
      <c r="H542" s="23"/>
      <c r="J542" s="68"/>
      <c r="K542" s="28"/>
      <c r="L542" s="28"/>
      <c r="M542" s="28"/>
      <c r="N542" s="28"/>
      <c r="O542" s="28"/>
      <c r="P542" s="29"/>
      <c r="Q542" s="54"/>
      <c r="R542" s="30"/>
    </row>
    <row r="543" spans="1:18" ht="15" hidden="1" customHeight="1" x14ac:dyDescent="0.3">
      <c r="A543" s="124">
        <v>45395</v>
      </c>
      <c r="B543" s="2">
        <v>168500</v>
      </c>
      <c r="C543" s="2">
        <f t="shared" si="30"/>
        <v>168500</v>
      </c>
      <c r="D543" s="2"/>
      <c r="E543" s="2"/>
      <c r="F543" s="2">
        <f t="shared" si="31"/>
        <v>0</v>
      </c>
      <c r="G543" s="2">
        <f t="shared" si="32"/>
        <v>168500</v>
      </c>
      <c r="H543" s="23"/>
      <c r="J543" s="68"/>
      <c r="K543" s="28"/>
      <c r="L543" s="28"/>
      <c r="M543" s="28"/>
      <c r="N543" s="28"/>
      <c r="O543" s="28"/>
      <c r="P543" s="29"/>
      <c r="Q543" s="54"/>
      <c r="R543" s="30"/>
    </row>
    <row r="544" spans="1:18" ht="15" hidden="1" customHeight="1" x14ac:dyDescent="0.3">
      <c r="A544" s="124">
        <v>45396</v>
      </c>
      <c r="B544" s="2"/>
      <c r="C544" s="2">
        <f t="shared" si="30"/>
        <v>0</v>
      </c>
      <c r="D544" s="2"/>
      <c r="E544" s="2"/>
      <c r="F544" s="2">
        <f t="shared" si="31"/>
        <v>0</v>
      </c>
      <c r="G544" s="2">
        <f t="shared" si="32"/>
        <v>0</v>
      </c>
      <c r="H544" s="23"/>
      <c r="J544" s="68"/>
      <c r="K544" s="28"/>
      <c r="L544" s="28"/>
      <c r="M544" s="28"/>
      <c r="N544" s="28"/>
      <c r="O544" s="28"/>
      <c r="P544" s="29"/>
      <c r="Q544" s="54"/>
      <c r="R544" s="30"/>
    </row>
    <row r="545" spans="1:18" ht="15" hidden="1" customHeight="1" x14ac:dyDescent="0.3">
      <c r="A545" s="124">
        <v>45397</v>
      </c>
      <c r="B545" s="2"/>
      <c r="C545" s="2">
        <f t="shared" si="30"/>
        <v>0</v>
      </c>
      <c r="D545" s="2">
        <v>114896</v>
      </c>
      <c r="E545" s="2">
        <v>90772</v>
      </c>
      <c r="F545" s="2">
        <f t="shared" si="31"/>
        <v>205668</v>
      </c>
      <c r="G545" s="2">
        <f t="shared" si="32"/>
        <v>-205668</v>
      </c>
      <c r="H545" s="23"/>
      <c r="J545" s="68"/>
      <c r="K545" s="28"/>
      <c r="L545" s="28"/>
      <c r="M545" s="28"/>
      <c r="N545" s="28"/>
      <c r="O545" s="28"/>
      <c r="P545" s="29"/>
      <c r="Q545" s="54"/>
      <c r="R545" s="30"/>
    </row>
    <row r="546" spans="1:18" ht="15" hidden="1" customHeight="1" x14ac:dyDescent="0.3">
      <c r="A546" s="124">
        <v>45398</v>
      </c>
      <c r="B546" s="2"/>
      <c r="C546" s="2">
        <f t="shared" si="30"/>
        <v>0</v>
      </c>
      <c r="D546" s="2">
        <v>78792</v>
      </c>
      <c r="E546" s="2">
        <v>72948</v>
      </c>
      <c r="F546" s="2">
        <f t="shared" si="31"/>
        <v>151740</v>
      </c>
      <c r="G546" s="2">
        <f t="shared" si="32"/>
        <v>-151740</v>
      </c>
      <c r="H546" s="56"/>
      <c r="J546" s="68"/>
      <c r="K546" s="28"/>
      <c r="L546" s="28"/>
      <c r="M546" s="28"/>
      <c r="N546" s="28"/>
      <c r="O546" s="28"/>
      <c r="P546" s="29"/>
      <c r="Q546" s="54"/>
      <c r="R546" s="30"/>
    </row>
    <row r="547" spans="1:18" ht="15" hidden="1" customHeight="1" x14ac:dyDescent="0.3">
      <c r="A547" s="124">
        <v>45399</v>
      </c>
      <c r="B547" s="2">
        <v>1499999.76</v>
      </c>
      <c r="C547" s="2">
        <f t="shared" si="30"/>
        <v>1499999.76</v>
      </c>
      <c r="D547" s="2">
        <v>10490</v>
      </c>
      <c r="E547" s="2"/>
      <c r="F547" s="2">
        <f t="shared" si="31"/>
        <v>10490</v>
      </c>
      <c r="G547" s="2">
        <f t="shared" si="32"/>
        <v>1489509.76</v>
      </c>
      <c r="H547" s="23"/>
      <c r="J547" s="68"/>
      <c r="K547" s="28"/>
      <c r="L547" s="28"/>
      <c r="M547" s="28"/>
      <c r="N547" s="28"/>
      <c r="O547" s="28"/>
      <c r="P547" s="29"/>
      <c r="Q547" s="54"/>
      <c r="R547" s="30"/>
    </row>
    <row r="548" spans="1:18" ht="15" hidden="1" customHeight="1" x14ac:dyDescent="0.3">
      <c r="A548" s="124">
        <v>45400</v>
      </c>
      <c r="B548" s="2">
        <v>500000</v>
      </c>
      <c r="C548" s="2">
        <f t="shared" si="30"/>
        <v>500000</v>
      </c>
      <c r="D548" s="2">
        <v>16180</v>
      </c>
      <c r="E548" s="2">
        <v>56996</v>
      </c>
      <c r="F548" s="2">
        <f t="shared" si="31"/>
        <v>73176</v>
      </c>
      <c r="G548" s="2">
        <f t="shared" si="32"/>
        <v>426824</v>
      </c>
      <c r="H548" s="23"/>
      <c r="J548" s="68"/>
      <c r="K548" s="28"/>
      <c r="L548" s="28"/>
      <c r="M548" s="28"/>
      <c r="N548" s="28"/>
      <c r="O548" s="28"/>
      <c r="P548" s="29"/>
      <c r="Q548" s="54"/>
      <c r="R548" s="30"/>
    </row>
    <row r="549" spans="1:18" ht="15" hidden="1" customHeight="1" x14ac:dyDescent="0.3">
      <c r="A549" s="124">
        <v>45401</v>
      </c>
      <c r="B549" s="2"/>
      <c r="C549" s="2">
        <f t="shared" si="30"/>
        <v>0</v>
      </c>
      <c r="D549" s="2">
        <v>55000</v>
      </c>
      <c r="E549" s="2">
        <v>422814</v>
      </c>
      <c r="F549" s="2">
        <f t="shared" si="31"/>
        <v>477814</v>
      </c>
      <c r="G549" s="2">
        <f t="shared" si="32"/>
        <v>-477814</v>
      </c>
      <c r="H549" s="23" t="s">
        <v>233</v>
      </c>
      <c r="J549" s="68"/>
      <c r="K549" s="28"/>
      <c r="L549" s="28"/>
      <c r="M549" s="28"/>
      <c r="N549" s="28"/>
      <c r="O549" s="28"/>
      <c r="P549" s="29"/>
      <c r="Q549" s="54"/>
      <c r="R549" s="30"/>
    </row>
    <row r="550" spans="1:18" ht="15" hidden="1" customHeight="1" x14ac:dyDescent="0.3">
      <c r="A550" s="124">
        <v>45402</v>
      </c>
      <c r="B550" s="2">
        <v>1480000</v>
      </c>
      <c r="C550" s="2">
        <f t="shared" si="30"/>
        <v>1480000</v>
      </c>
      <c r="D550" s="2">
        <v>597970</v>
      </c>
      <c r="E550" s="2">
        <f>110000+11000+6957+6783</f>
        <v>134740</v>
      </c>
      <c r="F550" s="2">
        <f t="shared" si="31"/>
        <v>732710</v>
      </c>
      <c r="G550" s="2">
        <f t="shared" si="32"/>
        <v>747290</v>
      </c>
      <c r="H550" s="127" t="s">
        <v>231</v>
      </c>
      <c r="J550" s="68"/>
      <c r="K550" s="28"/>
      <c r="L550" s="28"/>
      <c r="M550" s="28"/>
      <c r="N550" s="28"/>
      <c r="O550" s="28"/>
      <c r="P550" s="29"/>
      <c r="Q550" s="54"/>
      <c r="R550" s="30"/>
    </row>
    <row r="551" spans="1:18" ht="15" hidden="1" customHeight="1" x14ac:dyDescent="0.3">
      <c r="A551" s="124">
        <v>45403</v>
      </c>
      <c r="B551" s="2">
        <v>172500</v>
      </c>
      <c r="C551" s="2">
        <f t="shared" si="30"/>
        <v>172500</v>
      </c>
      <c r="D551" s="2">
        <v>30930</v>
      </c>
      <c r="E551" s="2">
        <v>353750</v>
      </c>
      <c r="F551" s="2">
        <f t="shared" si="31"/>
        <v>384680</v>
      </c>
      <c r="G551" s="2">
        <f t="shared" si="32"/>
        <v>-212180</v>
      </c>
      <c r="H551" s="23"/>
      <c r="J551" s="68"/>
      <c r="K551" s="28"/>
      <c r="L551" s="28"/>
      <c r="M551" s="28"/>
      <c r="N551" s="28"/>
      <c r="O551" s="28"/>
      <c r="P551" s="29"/>
      <c r="Q551" s="54"/>
      <c r="R551" s="30"/>
    </row>
    <row r="552" spans="1:18" ht="15" hidden="1" customHeight="1" x14ac:dyDescent="0.3">
      <c r="A552" s="124">
        <v>45404</v>
      </c>
      <c r="B552" s="2"/>
      <c r="C552" s="2">
        <f t="shared" si="30"/>
        <v>0</v>
      </c>
      <c r="D552" s="2"/>
      <c r="E552" s="2">
        <v>29950</v>
      </c>
      <c r="F552" s="2">
        <f t="shared" si="31"/>
        <v>29950</v>
      </c>
      <c r="G552" s="2">
        <f t="shared" si="32"/>
        <v>-29950</v>
      </c>
      <c r="H552" s="23"/>
      <c r="J552" s="68"/>
      <c r="K552" s="28"/>
      <c r="L552" s="28"/>
      <c r="M552" s="28"/>
      <c r="N552" s="28"/>
      <c r="O552" s="28"/>
      <c r="P552" s="29"/>
      <c r="Q552" s="54"/>
      <c r="R552" s="30"/>
    </row>
    <row r="553" spans="1:18" ht="15" hidden="1" customHeight="1" x14ac:dyDescent="0.3">
      <c r="A553" s="124">
        <v>45405</v>
      </c>
      <c r="B553" s="2">
        <v>212415</v>
      </c>
      <c r="C553" s="2">
        <f t="shared" si="30"/>
        <v>212415</v>
      </c>
      <c r="D553" s="2">
        <v>7978</v>
      </c>
      <c r="E553" s="2">
        <v>21600</v>
      </c>
      <c r="F553" s="2">
        <f t="shared" si="31"/>
        <v>29578</v>
      </c>
      <c r="G553" s="2">
        <f t="shared" si="32"/>
        <v>182837</v>
      </c>
      <c r="H553" s="93"/>
      <c r="J553" s="68"/>
      <c r="K553" s="28"/>
      <c r="L553" s="28"/>
      <c r="M553" s="28"/>
      <c r="N553" s="28"/>
      <c r="O553" s="28"/>
      <c r="P553" s="29"/>
      <c r="Q553" s="54"/>
      <c r="R553" s="30"/>
    </row>
    <row r="554" spans="1:18" ht="15" hidden="1" customHeight="1" x14ac:dyDescent="0.3">
      <c r="A554" s="124">
        <v>45406</v>
      </c>
      <c r="B554" s="2">
        <v>257040</v>
      </c>
      <c r="C554" s="2">
        <f t="shared" si="30"/>
        <v>257040</v>
      </c>
      <c r="D554" s="2"/>
      <c r="E554" s="2">
        <v>112937</v>
      </c>
      <c r="F554" s="2">
        <f t="shared" si="31"/>
        <v>112937</v>
      </c>
      <c r="G554" s="2">
        <f t="shared" si="32"/>
        <v>144103</v>
      </c>
      <c r="H554" s="93"/>
      <c r="J554" s="68"/>
      <c r="K554" s="28"/>
      <c r="L554" s="28"/>
      <c r="M554" s="28"/>
      <c r="N554" s="28"/>
      <c r="O554" s="28"/>
      <c r="P554" s="29"/>
      <c r="Q554" s="54"/>
      <c r="R554" s="30"/>
    </row>
    <row r="555" spans="1:18" ht="15" hidden="1" customHeight="1" x14ac:dyDescent="0.3">
      <c r="A555" s="124">
        <v>45407</v>
      </c>
      <c r="B555" s="2"/>
      <c r="C555" s="2">
        <f t="shared" si="30"/>
        <v>0</v>
      </c>
      <c r="D555" s="2">
        <v>51372</v>
      </c>
      <c r="E555" s="2"/>
      <c r="F555" s="2">
        <f t="shared" si="31"/>
        <v>51372</v>
      </c>
      <c r="G555" s="2">
        <f t="shared" si="32"/>
        <v>-51372</v>
      </c>
      <c r="H555" s="93" t="s">
        <v>186</v>
      </c>
      <c r="J555" s="68"/>
      <c r="K555" s="28"/>
      <c r="L555" s="28"/>
      <c r="M555" s="28"/>
      <c r="N555" s="28"/>
      <c r="O555" s="28"/>
      <c r="P555" s="29"/>
      <c r="Q555" s="54"/>
      <c r="R555" s="30"/>
    </row>
    <row r="556" spans="1:18" ht="15" hidden="1" customHeight="1" x14ac:dyDescent="0.3">
      <c r="A556" s="124">
        <v>45408</v>
      </c>
      <c r="B556" s="2"/>
      <c r="C556" s="2">
        <f t="shared" si="30"/>
        <v>0</v>
      </c>
      <c r="D556" s="2">
        <v>2000</v>
      </c>
      <c r="E556" s="2">
        <v>30371</v>
      </c>
      <c r="F556" s="2">
        <f t="shared" si="31"/>
        <v>32371</v>
      </c>
      <c r="G556" s="2">
        <f t="shared" si="32"/>
        <v>-32371</v>
      </c>
      <c r="H556" s="93"/>
      <c r="J556" s="68"/>
      <c r="K556" s="28"/>
      <c r="L556" s="28"/>
      <c r="M556" s="28"/>
      <c r="N556" s="28"/>
      <c r="O556" s="28"/>
      <c r="P556" s="29"/>
      <c r="Q556" s="54"/>
      <c r="R556" s="30"/>
    </row>
    <row r="557" spans="1:18" ht="15" hidden="1" customHeight="1" x14ac:dyDescent="0.3">
      <c r="A557" s="124">
        <v>45409</v>
      </c>
      <c r="B557" s="2"/>
      <c r="C557" s="2">
        <f t="shared" si="30"/>
        <v>0</v>
      </c>
      <c r="D557" s="2"/>
      <c r="E557" s="2">
        <v>54103</v>
      </c>
      <c r="F557" s="2">
        <f t="shared" si="31"/>
        <v>54103</v>
      </c>
      <c r="G557" s="2">
        <f t="shared" si="32"/>
        <v>-54103</v>
      </c>
      <c r="H557" s="93"/>
      <c r="J557" s="68"/>
      <c r="K557" s="28"/>
      <c r="L557" s="28"/>
      <c r="M557" s="28"/>
      <c r="N557" s="28"/>
      <c r="O557" s="28"/>
      <c r="P557" s="29"/>
      <c r="Q557" s="54"/>
      <c r="R557" s="30"/>
    </row>
    <row r="558" spans="1:18" ht="15" hidden="1" customHeight="1" x14ac:dyDescent="0.3">
      <c r="A558" s="124">
        <v>45410</v>
      </c>
      <c r="B558" s="2"/>
      <c r="C558" s="2">
        <f t="shared" si="30"/>
        <v>0</v>
      </c>
      <c r="D558" s="2"/>
      <c r="E558" s="2"/>
      <c r="F558" s="2">
        <f t="shared" si="31"/>
        <v>0</v>
      </c>
      <c r="G558" s="2">
        <f t="shared" si="32"/>
        <v>0</v>
      </c>
      <c r="H558" s="93"/>
      <c r="J558" s="68"/>
      <c r="K558" s="28"/>
      <c r="L558" s="28"/>
      <c r="M558" s="28"/>
      <c r="N558" s="28"/>
      <c r="O558" s="28"/>
      <c r="P558" s="29"/>
      <c r="Q558" s="54"/>
      <c r="R558" s="30"/>
    </row>
    <row r="559" spans="1:18" ht="15" hidden="1" customHeight="1" x14ac:dyDescent="0.3">
      <c r="A559" s="124">
        <v>45411</v>
      </c>
      <c r="B559" s="2"/>
      <c r="C559" s="2">
        <f t="shared" si="30"/>
        <v>0</v>
      </c>
      <c r="D559" s="2">
        <v>17472</v>
      </c>
      <c r="E559" s="2">
        <v>25100</v>
      </c>
      <c r="F559" s="2">
        <f t="shared" si="31"/>
        <v>42572</v>
      </c>
      <c r="G559" s="2">
        <f t="shared" si="32"/>
        <v>-42572</v>
      </c>
      <c r="H559" s="93"/>
      <c r="J559" s="68"/>
      <c r="K559" s="28"/>
      <c r="L559" s="28"/>
      <c r="M559" s="28"/>
      <c r="N559" s="28"/>
      <c r="O559" s="28"/>
      <c r="P559" s="29"/>
      <c r="Q559" s="54"/>
      <c r="R559" s="30"/>
    </row>
    <row r="560" spans="1:18" ht="15" hidden="1" customHeight="1" x14ac:dyDescent="0.3">
      <c r="A560" s="124">
        <v>45412</v>
      </c>
      <c r="B560" s="2">
        <v>704968</v>
      </c>
      <c r="C560" s="2">
        <f t="shared" si="30"/>
        <v>704968</v>
      </c>
      <c r="D560" s="2"/>
      <c r="E560" s="2"/>
      <c r="F560" s="2">
        <f t="shared" si="31"/>
        <v>0</v>
      </c>
      <c r="G560" s="2">
        <f t="shared" si="32"/>
        <v>704968</v>
      </c>
      <c r="H560" s="93" t="s">
        <v>234</v>
      </c>
      <c r="J560" s="68"/>
      <c r="K560" s="28"/>
      <c r="L560" s="28"/>
      <c r="M560" s="28"/>
      <c r="N560" s="28"/>
      <c r="O560" s="28"/>
      <c r="P560" s="29"/>
      <c r="Q560" s="54"/>
      <c r="R560" s="30"/>
    </row>
    <row r="561" spans="1:18" ht="15" hidden="1" customHeight="1" x14ac:dyDescent="0.3">
      <c r="A561" s="124"/>
      <c r="B561" s="2"/>
      <c r="C561" s="2">
        <v>0</v>
      </c>
      <c r="D561" s="2"/>
      <c r="E561" s="2"/>
      <c r="F561" s="2">
        <v>0</v>
      </c>
      <c r="G561" s="2">
        <f t="shared" si="32"/>
        <v>0</v>
      </c>
      <c r="H561" s="93"/>
      <c r="J561" s="68"/>
      <c r="K561" s="28"/>
      <c r="L561" s="28"/>
      <c r="M561" s="28"/>
      <c r="N561" s="28"/>
      <c r="O561" s="28"/>
      <c r="P561" s="29"/>
      <c r="Q561" s="54"/>
      <c r="R561" s="30"/>
    </row>
    <row r="562" spans="1:18" ht="15" hidden="1" customHeight="1" x14ac:dyDescent="0.3">
      <c r="A562" s="34" t="s">
        <v>46</v>
      </c>
      <c r="B562" s="2">
        <f>SUM(B531:B560)</f>
        <v>8412727.7599999998</v>
      </c>
      <c r="C562" s="2">
        <f>SUM(C531:C560)</f>
        <v>8412727.7599999998</v>
      </c>
      <c r="D562" s="2">
        <f>SUM(D531:D560)</f>
        <v>2623585</v>
      </c>
      <c r="E562" s="2">
        <f t="shared" ref="E562:G562" si="33">SUM(E531:E560)</f>
        <v>1909153</v>
      </c>
      <c r="F562" s="2">
        <f t="shared" si="33"/>
        <v>4532738</v>
      </c>
      <c r="G562" s="2">
        <f t="shared" si="33"/>
        <v>3879989.76</v>
      </c>
      <c r="H562" s="148"/>
      <c r="J562" s="68"/>
      <c r="K562" s="28"/>
      <c r="L562" s="28"/>
      <c r="M562" s="28"/>
      <c r="N562" s="28"/>
      <c r="O562" s="28"/>
      <c r="P562" s="29"/>
      <c r="Q562" s="54"/>
      <c r="R562" s="30"/>
    </row>
    <row r="563" spans="1:18" ht="15" hidden="1" customHeight="1" x14ac:dyDescent="0.3">
      <c r="A563" s="124"/>
      <c r="B563" s="2"/>
      <c r="C563" s="2"/>
      <c r="D563" s="2"/>
      <c r="E563" s="2"/>
      <c r="F563" s="2"/>
      <c r="G563" s="2"/>
      <c r="H563"/>
      <c r="J563" s="68"/>
      <c r="K563" s="28"/>
      <c r="L563" s="28"/>
      <c r="M563" s="28"/>
      <c r="N563" s="28"/>
      <c r="O563" s="28"/>
      <c r="P563" s="29"/>
      <c r="Q563" s="54"/>
      <c r="R563" s="30"/>
    </row>
    <row r="564" spans="1:18" ht="15" hidden="1" customHeight="1" x14ac:dyDescent="0.3">
      <c r="A564" s="124"/>
      <c r="B564" s="2"/>
      <c r="C564" s="2"/>
      <c r="D564" s="2"/>
      <c r="E564" s="2"/>
      <c r="F564" s="2"/>
      <c r="G564" s="2"/>
      <c r="H564"/>
      <c r="J564" s="68"/>
      <c r="K564" s="28"/>
      <c r="L564" s="28"/>
      <c r="M564" s="28"/>
      <c r="N564" s="28"/>
      <c r="O564" s="28"/>
      <c r="P564" s="29"/>
      <c r="Q564" s="54"/>
      <c r="R564" s="30"/>
    </row>
    <row r="565" spans="1:18" ht="15" hidden="1" customHeight="1" x14ac:dyDescent="0.3">
      <c r="A565" s="124"/>
      <c r="B565" s="2"/>
      <c r="C565" s="2"/>
      <c r="D565" s="2"/>
      <c r="E565" s="2"/>
      <c r="F565" s="2"/>
      <c r="G565" s="2"/>
      <c r="H565"/>
      <c r="J565" s="68"/>
      <c r="K565" s="28"/>
      <c r="L565" s="28"/>
      <c r="M565" s="28"/>
      <c r="N565" s="28"/>
      <c r="O565" s="28"/>
      <c r="P565" s="29"/>
      <c r="Q565" s="54"/>
      <c r="R565" s="30"/>
    </row>
    <row r="566" spans="1:18" ht="15" hidden="1" customHeight="1" x14ac:dyDescent="0.3">
      <c r="A566" s="124">
        <v>45352</v>
      </c>
      <c r="B566" s="2">
        <v>500000</v>
      </c>
      <c r="C566" s="2">
        <f>B566</f>
        <v>500000</v>
      </c>
      <c r="D566" s="2">
        <v>383501</v>
      </c>
      <c r="E566" s="2">
        <v>271644</v>
      </c>
      <c r="F566" s="2">
        <f>D566+E566</f>
        <v>655145</v>
      </c>
      <c r="G566" s="2">
        <f>C566-F566</f>
        <v>-155145</v>
      </c>
      <c r="H566"/>
      <c r="J566" s="68"/>
      <c r="K566" s="28"/>
      <c r="L566" s="28"/>
      <c r="M566" s="28"/>
      <c r="N566" s="28"/>
      <c r="O566" s="28"/>
      <c r="P566" s="29"/>
      <c r="Q566" s="54"/>
      <c r="R566" s="30"/>
    </row>
    <row r="567" spans="1:18" ht="15" hidden="1" customHeight="1" x14ac:dyDescent="0.3">
      <c r="A567" s="124">
        <v>45353</v>
      </c>
      <c r="B567" s="2">
        <v>3358100</v>
      </c>
      <c r="C567" s="2">
        <f t="shared" ref="C567:C595" si="34">B567</f>
        <v>3358100</v>
      </c>
      <c r="D567" s="2"/>
      <c r="E567" s="2">
        <v>48120</v>
      </c>
      <c r="F567" s="2">
        <f t="shared" ref="F567:F596" si="35">D567+E567</f>
        <v>48120</v>
      </c>
      <c r="G567" s="2">
        <f t="shared" ref="G567:G596" si="36">C567-F567</f>
        <v>3309980</v>
      </c>
      <c r="H567"/>
      <c r="J567" s="68"/>
      <c r="K567" s="28"/>
      <c r="L567" s="28"/>
      <c r="M567" s="28"/>
      <c r="N567" s="28"/>
      <c r="O567" s="28"/>
      <c r="P567" s="29"/>
      <c r="Q567" s="54"/>
      <c r="R567" s="30"/>
    </row>
    <row r="568" spans="1:18" ht="15" hidden="1" customHeight="1" x14ac:dyDescent="0.3">
      <c r="A568" s="124">
        <v>45354</v>
      </c>
      <c r="B568" s="2"/>
      <c r="C568" s="2">
        <f t="shared" si="34"/>
        <v>0</v>
      </c>
      <c r="D568" s="2"/>
      <c r="E568" s="2">
        <v>36316</v>
      </c>
      <c r="F568" s="2">
        <f t="shared" si="35"/>
        <v>36316</v>
      </c>
      <c r="G568" s="2">
        <f t="shared" si="36"/>
        <v>-36316</v>
      </c>
      <c r="H568"/>
      <c r="J568" s="68"/>
      <c r="K568" s="28"/>
      <c r="L568" s="28"/>
      <c r="M568" s="28"/>
      <c r="N568" s="28"/>
      <c r="O568" s="28"/>
      <c r="P568" s="29"/>
      <c r="Q568" s="54"/>
    </row>
    <row r="569" spans="1:18" ht="15" hidden="1" customHeight="1" x14ac:dyDescent="0.3">
      <c r="A569" s="124">
        <v>45355</v>
      </c>
      <c r="B569" s="2"/>
      <c r="C569" s="2">
        <f t="shared" si="34"/>
        <v>0</v>
      </c>
      <c r="D569" s="2">
        <v>300000</v>
      </c>
      <c r="E569" s="2">
        <v>71970</v>
      </c>
      <c r="F569" s="2">
        <f t="shared" si="35"/>
        <v>371970</v>
      </c>
      <c r="G569" s="2">
        <f t="shared" si="36"/>
        <v>-371970</v>
      </c>
      <c r="H569" t="s">
        <v>212</v>
      </c>
      <c r="J569" s="68"/>
      <c r="K569" s="28"/>
      <c r="L569" s="28"/>
      <c r="M569" s="28"/>
      <c r="N569" s="28"/>
      <c r="O569" s="28"/>
      <c r="P569" s="29"/>
      <c r="Q569" s="54"/>
      <c r="R569" s="30"/>
    </row>
    <row r="570" spans="1:18" ht="15" hidden="1" customHeight="1" x14ac:dyDescent="0.3">
      <c r="A570" s="124">
        <v>45356</v>
      </c>
      <c r="B570" s="2"/>
      <c r="C570" s="2">
        <f t="shared" si="34"/>
        <v>0</v>
      </c>
      <c r="D570" s="2"/>
      <c r="E570" s="2">
        <v>108516</v>
      </c>
      <c r="F570" s="2">
        <f t="shared" si="35"/>
        <v>108516</v>
      </c>
      <c r="G570" s="2">
        <f t="shared" si="36"/>
        <v>-108516</v>
      </c>
      <c r="H570"/>
      <c r="J570" s="68"/>
      <c r="K570" s="28"/>
      <c r="L570" s="28"/>
      <c r="M570" s="28"/>
      <c r="N570" s="28"/>
      <c r="O570" s="28"/>
      <c r="P570" s="29"/>
      <c r="Q570" s="54"/>
      <c r="R570" s="30"/>
    </row>
    <row r="571" spans="1:18" ht="15" hidden="1" customHeight="1" x14ac:dyDescent="0.3">
      <c r="A571" s="124">
        <v>45357</v>
      </c>
      <c r="B571" s="2">
        <v>630000</v>
      </c>
      <c r="C571" s="2">
        <f t="shared" si="34"/>
        <v>630000</v>
      </c>
      <c r="D571" s="2">
        <v>148000</v>
      </c>
      <c r="E571" s="2"/>
      <c r="F571" s="2">
        <f t="shared" si="35"/>
        <v>148000</v>
      </c>
      <c r="G571" s="2">
        <f t="shared" si="36"/>
        <v>482000</v>
      </c>
      <c r="H571"/>
      <c r="J571" s="68"/>
      <c r="K571" s="28"/>
      <c r="L571" s="28"/>
      <c r="M571" s="28"/>
      <c r="N571" s="28"/>
      <c r="O571" s="28"/>
      <c r="P571" s="29"/>
      <c r="Q571" s="54"/>
      <c r="R571" s="30"/>
    </row>
    <row r="572" spans="1:18" ht="15" hidden="1" customHeight="1" x14ac:dyDescent="0.3">
      <c r="A572" s="124">
        <v>45358</v>
      </c>
      <c r="B572" s="2"/>
      <c r="C572" s="2">
        <f t="shared" si="34"/>
        <v>0</v>
      </c>
      <c r="D572" s="2">
        <v>40000</v>
      </c>
      <c r="E572" s="2">
        <v>110000</v>
      </c>
      <c r="F572" s="2">
        <f t="shared" si="35"/>
        <v>150000</v>
      </c>
      <c r="G572" s="2">
        <f t="shared" si="36"/>
        <v>-150000</v>
      </c>
      <c r="H572" s="144" t="s">
        <v>229</v>
      </c>
      <c r="J572" s="68"/>
      <c r="K572" s="28"/>
      <c r="L572" s="28"/>
      <c r="M572" s="28"/>
      <c r="N572" s="28"/>
      <c r="O572" s="28"/>
      <c r="P572" s="29"/>
      <c r="Q572" s="54"/>
      <c r="R572" s="30"/>
    </row>
    <row r="573" spans="1:18" ht="15" hidden="1" customHeight="1" x14ac:dyDescent="0.3">
      <c r="A573" s="124">
        <v>45359</v>
      </c>
      <c r="B573" s="2"/>
      <c r="C573" s="2">
        <f t="shared" si="34"/>
        <v>0</v>
      </c>
      <c r="D573" s="2"/>
      <c r="E573" s="2">
        <v>99058</v>
      </c>
      <c r="F573" s="2">
        <f t="shared" si="35"/>
        <v>99058</v>
      </c>
      <c r="G573" s="2">
        <f t="shared" si="36"/>
        <v>-99058</v>
      </c>
      <c r="H573"/>
      <c r="J573" s="28"/>
      <c r="K573" s="28"/>
      <c r="L573" s="28"/>
      <c r="M573" s="28"/>
      <c r="N573" s="28"/>
      <c r="O573" s="28"/>
      <c r="P573" s="29"/>
      <c r="Q573" s="54"/>
      <c r="R573" s="30"/>
    </row>
    <row r="574" spans="1:18" ht="15" hidden="1" customHeight="1" x14ac:dyDescent="0.3">
      <c r="A574" s="124">
        <v>45360</v>
      </c>
      <c r="B574" s="2">
        <v>806800</v>
      </c>
      <c r="C574" s="2">
        <f t="shared" si="34"/>
        <v>806800</v>
      </c>
      <c r="D574" s="2">
        <v>11000</v>
      </c>
      <c r="E574" s="2">
        <v>1660</v>
      </c>
      <c r="F574" s="2">
        <f t="shared" si="35"/>
        <v>12660</v>
      </c>
      <c r="G574" s="2">
        <f t="shared" si="36"/>
        <v>794140</v>
      </c>
      <c r="H574"/>
      <c r="J574" s="68"/>
      <c r="K574" s="28"/>
      <c r="L574" s="28"/>
      <c r="M574" s="28"/>
      <c r="N574" s="28"/>
      <c r="O574" s="28"/>
      <c r="P574" s="29"/>
      <c r="Q574" s="54"/>
      <c r="R574" s="30"/>
    </row>
    <row r="575" spans="1:18" ht="15" hidden="1" customHeight="1" x14ac:dyDescent="0.3">
      <c r="A575" s="124">
        <v>45361</v>
      </c>
      <c r="B575" s="2"/>
      <c r="C575" s="2">
        <f t="shared" si="34"/>
        <v>0</v>
      </c>
      <c r="D575" s="2"/>
      <c r="E575" s="2"/>
      <c r="F575" s="2">
        <f t="shared" si="35"/>
        <v>0</v>
      </c>
      <c r="G575" s="2">
        <f t="shared" si="36"/>
        <v>0</v>
      </c>
      <c r="H575"/>
      <c r="J575" s="68"/>
      <c r="K575" s="28"/>
      <c r="L575" s="28"/>
      <c r="M575" s="28"/>
      <c r="N575" s="28"/>
      <c r="O575" s="28"/>
      <c r="P575" s="29"/>
      <c r="Q575" s="54"/>
      <c r="R575" s="30"/>
    </row>
    <row r="576" spans="1:18" ht="15" hidden="1" customHeight="1" x14ac:dyDescent="0.3">
      <c r="A576" s="124">
        <v>45362</v>
      </c>
      <c r="B576" s="2"/>
      <c r="C576" s="2">
        <f t="shared" si="34"/>
        <v>0</v>
      </c>
      <c r="D576" s="2">
        <v>27484</v>
      </c>
      <c r="E576" s="2"/>
      <c r="F576" s="2">
        <f t="shared" si="35"/>
        <v>27484</v>
      </c>
      <c r="G576" s="2">
        <f t="shared" si="36"/>
        <v>-27484</v>
      </c>
      <c r="H576"/>
      <c r="J576" s="68"/>
      <c r="K576" s="28"/>
      <c r="L576" s="28"/>
      <c r="M576" s="28"/>
      <c r="N576" s="28"/>
      <c r="O576" s="28"/>
      <c r="P576" s="29"/>
      <c r="Q576" s="54"/>
      <c r="R576" s="30"/>
    </row>
    <row r="577" spans="1:18" ht="15" hidden="1" customHeight="1" x14ac:dyDescent="0.3">
      <c r="A577" s="124">
        <v>45363</v>
      </c>
      <c r="B577" s="2">
        <v>50000</v>
      </c>
      <c r="C577" s="2">
        <f t="shared" si="34"/>
        <v>50000</v>
      </c>
      <c r="D577" s="2">
        <v>185050</v>
      </c>
      <c r="E577" s="2">
        <v>64300</v>
      </c>
      <c r="F577" s="2">
        <f t="shared" si="35"/>
        <v>249350</v>
      </c>
      <c r="G577" s="2">
        <f t="shared" si="36"/>
        <v>-199350</v>
      </c>
      <c r="H577"/>
      <c r="J577" s="68"/>
      <c r="K577" s="28"/>
      <c r="L577" s="28"/>
      <c r="M577" s="28"/>
      <c r="N577" s="28"/>
      <c r="O577" s="28"/>
      <c r="P577" s="29"/>
      <c r="Q577" s="54"/>
      <c r="R577" s="30"/>
    </row>
    <row r="578" spans="1:18" ht="15" hidden="1" customHeight="1" x14ac:dyDescent="0.3">
      <c r="A578" s="124">
        <v>45364</v>
      </c>
      <c r="B578" s="2"/>
      <c r="C578" s="2">
        <f t="shared" si="34"/>
        <v>0</v>
      </c>
      <c r="D578" s="2"/>
      <c r="E578" s="2"/>
      <c r="F578" s="2">
        <f t="shared" si="35"/>
        <v>0</v>
      </c>
      <c r="G578" s="2">
        <f t="shared" si="36"/>
        <v>0</v>
      </c>
      <c r="H578"/>
      <c r="J578" s="68"/>
      <c r="K578" s="28"/>
      <c r="L578" s="28"/>
      <c r="M578" s="28"/>
      <c r="N578" s="28"/>
      <c r="O578" s="28"/>
      <c r="P578" s="29"/>
      <c r="Q578" s="54"/>
      <c r="R578" s="30"/>
    </row>
    <row r="579" spans="1:18" ht="15" hidden="1" customHeight="1" x14ac:dyDescent="0.3">
      <c r="A579" s="124">
        <v>45365</v>
      </c>
      <c r="B579" s="2"/>
      <c r="C579" s="2">
        <f t="shared" si="34"/>
        <v>0</v>
      </c>
      <c r="D579" s="2"/>
      <c r="E579" s="2">
        <v>45116</v>
      </c>
      <c r="F579" s="2">
        <f t="shared" si="35"/>
        <v>45116</v>
      </c>
      <c r="G579" s="2">
        <f t="shared" si="36"/>
        <v>-45116</v>
      </c>
      <c r="H579"/>
      <c r="J579" s="68"/>
      <c r="K579" s="28"/>
      <c r="L579" s="28"/>
      <c r="M579" s="28"/>
      <c r="N579" s="28"/>
      <c r="O579" s="28"/>
      <c r="P579" s="29"/>
      <c r="Q579" s="54"/>
      <c r="R579" s="30"/>
    </row>
    <row r="580" spans="1:18" ht="15" hidden="1" customHeight="1" x14ac:dyDescent="0.3">
      <c r="A580" s="124">
        <v>45366</v>
      </c>
      <c r="B580" s="2">
        <v>202000</v>
      </c>
      <c r="C580" s="2">
        <f t="shared" si="34"/>
        <v>202000</v>
      </c>
      <c r="D580" s="2">
        <v>27979</v>
      </c>
      <c r="E580" s="2">
        <v>124231</v>
      </c>
      <c r="F580" s="2">
        <f t="shared" si="35"/>
        <v>152210</v>
      </c>
      <c r="G580" s="2">
        <f t="shared" si="36"/>
        <v>49790</v>
      </c>
      <c r="H580"/>
      <c r="J580" s="68"/>
      <c r="K580" s="28"/>
      <c r="L580" s="28"/>
      <c r="M580" s="28"/>
      <c r="N580" s="28"/>
      <c r="O580" s="28"/>
      <c r="P580" s="29"/>
      <c r="Q580" s="54"/>
      <c r="R580" s="30"/>
    </row>
    <row r="581" spans="1:18" ht="15" hidden="1" customHeight="1" x14ac:dyDescent="0.3">
      <c r="A581" s="124">
        <v>45367</v>
      </c>
      <c r="B581" s="2"/>
      <c r="C581" s="2">
        <f t="shared" si="34"/>
        <v>0</v>
      </c>
      <c r="D581" s="2">
        <v>55975</v>
      </c>
      <c r="E581" s="2"/>
      <c r="F581" s="2">
        <f t="shared" si="35"/>
        <v>55975</v>
      </c>
      <c r="G581" s="2">
        <f t="shared" si="36"/>
        <v>-55975</v>
      </c>
      <c r="H581"/>
      <c r="J581" s="68"/>
      <c r="K581" s="28"/>
      <c r="L581" s="28"/>
      <c r="M581" s="28"/>
      <c r="N581" s="28"/>
      <c r="O581" s="28"/>
      <c r="P581" s="29"/>
      <c r="Q581" s="54"/>
      <c r="R581" s="30"/>
    </row>
    <row r="582" spans="1:18" ht="15" hidden="1" customHeight="1" x14ac:dyDescent="0.3">
      <c r="A582" s="124">
        <v>45368</v>
      </c>
      <c r="B582" s="2">
        <v>202900</v>
      </c>
      <c r="C582" s="2">
        <f t="shared" si="34"/>
        <v>202900</v>
      </c>
      <c r="D582" s="2">
        <v>39272</v>
      </c>
      <c r="E582" s="2"/>
      <c r="F582" s="2">
        <f t="shared" si="35"/>
        <v>39272</v>
      </c>
      <c r="G582" s="2">
        <f t="shared" si="36"/>
        <v>163628</v>
      </c>
      <c r="H582"/>
      <c r="J582" s="68"/>
      <c r="K582" s="28"/>
      <c r="L582" s="28"/>
      <c r="M582" s="28"/>
      <c r="N582" s="28"/>
      <c r="O582" s="28"/>
      <c r="P582" s="29"/>
      <c r="Q582" s="54"/>
      <c r="R582" s="30"/>
    </row>
    <row r="583" spans="1:18" ht="15" hidden="1" customHeight="1" x14ac:dyDescent="0.3">
      <c r="A583" s="124">
        <v>45369</v>
      </c>
      <c r="B583" s="2"/>
      <c r="C583" s="2">
        <f t="shared" si="34"/>
        <v>0</v>
      </c>
      <c r="D583" s="2">
        <v>210780</v>
      </c>
      <c r="E583" s="2">
        <v>20905</v>
      </c>
      <c r="F583" s="2">
        <f t="shared" si="35"/>
        <v>231685</v>
      </c>
      <c r="G583" s="2">
        <f t="shared" si="36"/>
        <v>-231685</v>
      </c>
      <c r="H583" t="s">
        <v>218</v>
      </c>
      <c r="J583" s="68"/>
      <c r="K583" s="28"/>
      <c r="L583" s="28"/>
      <c r="M583" s="28"/>
      <c r="N583" s="28"/>
      <c r="O583" s="28"/>
      <c r="P583" s="29"/>
      <c r="Q583" s="54"/>
      <c r="R583" s="30"/>
    </row>
    <row r="584" spans="1:18" ht="15" hidden="1" customHeight="1" x14ac:dyDescent="0.3">
      <c r="A584" s="124">
        <v>45370</v>
      </c>
      <c r="B584" s="2"/>
      <c r="C584" s="2">
        <f t="shared" si="34"/>
        <v>0</v>
      </c>
      <c r="D584" s="2">
        <v>171365</v>
      </c>
      <c r="E584" s="2">
        <v>35100</v>
      </c>
      <c r="F584" s="2">
        <f t="shared" si="35"/>
        <v>206465</v>
      </c>
      <c r="G584" s="2">
        <f t="shared" si="36"/>
        <v>-206465</v>
      </c>
      <c r="H584" s="129" t="s">
        <v>213</v>
      </c>
      <c r="J584" s="68"/>
      <c r="K584" s="28"/>
      <c r="L584" s="28"/>
      <c r="M584" s="28"/>
      <c r="N584" s="28"/>
      <c r="O584" s="28"/>
      <c r="P584" s="29"/>
      <c r="Q584" s="54"/>
      <c r="R584" s="30"/>
    </row>
    <row r="585" spans="1:18" ht="15" hidden="1" customHeight="1" x14ac:dyDescent="0.3">
      <c r="A585" s="124">
        <v>45371</v>
      </c>
      <c r="B585" s="2"/>
      <c r="C585" s="2">
        <f t="shared" si="34"/>
        <v>0</v>
      </c>
      <c r="D585" s="2">
        <v>22570</v>
      </c>
      <c r="E585" s="2">
        <v>366437</v>
      </c>
      <c r="F585" s="2">
        <f t="shared" si="35"/>
        <v>389007</v>
      </c>
      <c r="G585" s="2">
        <f t="shared" si="36"/>
        <v>-389007</v>
      </c>
      <c r="H585"/>
      <c r="J585" s="68"/>
      <c r="K585" s="28"/>
      <c r="L585" s="28"/>
      <c r="M585" s="28"/>
      <c r="N585" s="28"/>
      <c r="O585" s="28"/>
      <c r="P585" s="29"/>
      <c r="Q585" s="54"/>
      <c r="R585" s="30"/>
    </row>
    <row r="586" spans="1:18" ht="15" hidden="1" customHeight="1" x14ac:dyDescent="0.3">
      <c r="A586" s="124">
        <v>45372</v>
      </c>
      <c r="B586" s="2"/>
      <c r="C586" s="2">
        <f t="shared" si="34"/>
        <v>0</v>
      </c>
      <c r="D586" s="2"/>
      <c r="E586" s="2">
        <v>17856</v>
      </c>
      <c r="F586" s="2">
        <f t="shared" si="35"/>
        <v>17856</v>
      </c>
      <c r="G586" s="2">
        <f t="shared" si="36"/>
        <v>-17856</v>
      </c>
      <c r="H586"/>
      <c r="J586" s="68"/>
      <c r="K586" s="28"/>
      <c r="L586" s="28"/>
      <c r="M586" s="28"/>
      <c r="N586" s="28"/>
      <c r="O586" s="28"/>
      <c r="P586" s="29"/>
      <c r="Q586" s="54"/>
      <c r="R586" s="30"/>
    </row>
    <row r="587" spans="1:18" ht="15" hidden="1" customHeight="1" x14ac:dyDescent="0.3">
      <c r="A587" s="124">
        <v>45373</v>
      </c>
      <c r="B587" s="2">
        <v>14000</v>
      </c>
      <c r="C587" s="2">
        <f t="shared" si="34"/>
        <v>14000</v>
      </c>
      <c r="D587" s="2"/>
      <c r="E587" s="2">
        <v>32250</v>
      </c>
      <c r="F587" s="2">
        <f t="shared" si="35"/>
        <v>32250</v>
      </c>
      <c r="G587" s="2">
        <f t="shared" si="36"/>
        <v>-18250</v>
      </c>
      <c r="H587"/>
      <c r="J587" s="68"/>
      <c r="K587" s="28"/>
      <c r="L587" s="28"/>
      <c r="M587" s="28"/>
      <c r="N587" s="28"/>
      <c r="O587" s="28"/>
      <c r="P587" s="29"/>
      <c r="Q587" s="54"/>
      <c r="R587" s="30"/>
    </row>
    <row r="588" spans="1:18" ht="15" hidden="1" customHeight="1" x14ac:dyDescent="0.3">
      <c r="A588" s="124">
        <v>45374</v>
      </c>
      <c r="B588" s="2"/>
      <c r="C588" s="2">
        <f t="shared" si="34"/>
        <v>0</v>
      </c>
      <c r="D588" s="2">
        <v>33657</v>
      </c>
      <c r="E588" s="2"/>
      <c r="F588" s="2">
        <f t="shared" si="35"/>
        <v>33657</v>
      </c>
      <c r="G588" s="2">
        <f t="shared" si="36"/>
        <v>-33657</v>
      </c>
      <c r="H588"/>
      <c r="J588" s="68"/>
      <c r="K588" s="28"/>
      <c r="L588" s="28"/>
      <c r="M588" s="28"/>
      <c r="N588" s="28"/>
      <c r="O588" s="28"/>
      <c r="P588" s="29"/>
      <c r="Q588" s="54"/>
      <c r="R588" s="30"/>
    </row>
    <row r="589" spans="1:18" ht="15" hidden="1" customHeight="1" x14ac:dyDescent="0.3">
      <c r="A589" s="124">
        <v>45375</v>
      </c>
      <c r="B589" s="2">
        <v>349000</v>
      </c>
      <c r="C589" s="2">
        <f t="shared" si="34"/>
        <v>349000</v>
      </c>
      <c r="D589" s="2"/>
      <c r="E589" s="2"/>
      <c r="F589" s="2">
        <f t="shared" si="35"/>
        <v>0</v>
      </c>
      <c r="G589" s="2">
        <f t="shared" si="36"/>
        <v>349000</v>
      </c>
      <c r="H589"/>
      <c r="J589" s="68"/>
      <c r="K589" s="28"/>
      <c r="L589" s="28"/>
      <c r="M589" s="28"/>
      <c r="N589" s="28"/>
      <c r="O589" s="28"/>
      <c r="P589" s="29"/>
      <c r="Q589" s="54"/>
      <c r="R589" s="30"/>
    </row>
    <row r="590" spans="1:18" ht="15" hidden="1" customHeight="1" x14ac:dyDescent="0.3">
      <c r="A590" s="124">
        <v>45376</v>
      </c>
      <c r="B590" s="2"/>
      <c r="C590" s="2">
        <f t="shared" si="34"/>
        <v>0</v>
      </c>
      <c r="D590" s="2">
        <v>135104</v>
      </c>
      <c r="E590" s="2">
        <v>26233</v>
      </c>
      <c r="F590" s="2">
        <f t="shared" si="35"/>
        <v>161337</v>
      </c>
      <c r="G590" s="2">
        <f t="shared" si="36"/>
        <v>-161337</v>
      </c>
      <c r="H590"/>
      <c r="J590" s="68"/>
      <c r="K590" s="28"/>
      <c r="L590" s="28"/>
      <c r="M590" s="28"/>
      <c r="N590" s="28"/>
      <c r="O590" s="28"/>
      <c r="P590" s="29"/>
      <c r="Q590" s="54"/>
      <c r="R590" s="30"/>
    </row>
    <row r="591" spans="1:18" ht="15" hidden="1" customHeight="1" x14ac:dyDescent="0.3">
      <c r="A591" s="124">
        <v>45377</v>
      </c>
      <c r="B591" s="2">
        <v>246330</v>
      </c>
      <c r="C591" s="2">
        <f t="shared" si="34"/>
        <v>246330</v>
      </c>
      <c r="D591" s="2">
        <v>54840</v>
      </c>
      <c r="E591" s="2">
        <v>52546</v>
      </c>
      <c r="F591" s="2">
        <f t="shared" si="35"/>
        <v>107386</v>
      </c>
      <c r="G591" s="2">
        <f t="shared" si="36"/>
        <v>138944</v>
      </c>
      <c r="H591"/>
      <c r="J591" s="68"/>
      <c r="K591" s="28"/>
      <c r="L591" s="28"/>
      <c r="M591" s="28"/>
      <c r="N591" s="28"/>
      <c r="O591" s="28"/>
      <c r="P591" s="29"/>
      <c r="Q591" s="54"/>
      <c r="R591" s="30"/>
    </row>
    <row r="592" spans="1:18" ht="15" hidden="1" customHeight="1" x14ac:dyDescent="0.3">
      <c r="A592" s="124">
        <v>45378</v>
      </c>
      <c r="B592" s="2">
        <v>300000</v>
      </c>
      <c r="C592" s="2">
        <f t="shared" si="34"/>
        <v>300000</v>
      </c>
      <c r="D592" s="2">
        <v>86954</v>
      </c>
      <c r="E592" s="2">
        <v>11388</v>
      </c>
      <c r="F592" s="2">
        <f t="shared" si="35"/>
        <v>98342</v>
      </c>
      <c r="G592" s="2">
        <f t="shared" si="36"/>
        <v>201658</v>
      </c>
      <c r="H592"/>
      <c r="J592" s="68"/>
      <c r="K592" s="28"/>
      <c r="L592" s="28"/>
      <c r="M592" s="28"/>
      <c r="N592" s="28"/>
      <c r="O592" s="28"/>
      <c r="P592" s="29"/>
      <c r="Q592" s="54"/>
      <c r="R592" s="30"/>
    </row>
    <row r="593" spans="1:18" ht="15" hidden="1" customHeight="1" x14ac:dyDescent="0.3">
      <c r="A593" s="124">
        <v>45379</v>
      </c>
      <c r="B593" s="2">
        <v>1294020</v>
      </c>
      <c r="C593" s="2">
        <f t="shared" si="34"/>
        <v>1294020</v>
      </c>
      <c r="D593" s="2">
        <v>215000</v>
      </c>
      <c r="E593" s="2"/>
      <c r="F593" s="2">
        <f t="shared" si="35"/>
        <v>215000</v>
      </c>
      <c r="G593" s="2">
        <f t="shared" si="36"/>
        <v>1079020</v>
      </c>
      <c r="H593"/>
      <c r="J593" s="68"/>
      <c r="K593" s="28"/>
      <c r="L593" s="28"/>
      <c r="M593" s="28"/>
      <c r="N593" s="28"/>
      <c r="O593" s="28"/>
      <c r="P593" s="29"/>
      <c r="Q593" s="54"/>
      <c r="R593" s="30"/>
    </row>
    <row r="594" spans="1:18" ht="15" hidden="1" customHeight="1" x14ac:dyDescent="0.3">
      <c r="A594" s="124">
        <v>45380</v>
      </c>
      <c r="B594" s="2">
        <v>50000</v>
      </c>
      <c r="C594" s="2">
        <f t="shared" si="34"/>
        <v>50000</v>
      </c>
      <c r="D594" s="2"/>
      <c r="E594" s="2">
        <v>18274</v>
      </c>
      <c r="F594" s="2">
        <f t="shared" si="35"/>
        <v>18274</v>
      </c>
      <c r="G594" s="2">
        <f t="shared" si="36"/>
        <v>31726</v>
      </c>
      <c r="H594"/>
      <c r="J594" s="68"/>
      <c r="K594" s="28"/>
      <c r="L594" s="28"/>
      <c r="M594" s="28"/>
      <c r="N594" s="28"/>
      <c r="O594" s="28"/>
      <c r="P594" s="29"/>
      <c r="Q594" s="54"/>
      <c r="R594" s="30"/>
    </row>
    <row r="595" spans="1:18" ht="15" hidden="1" customHeight="1" x14ac:dyDescent="0.3">
      <c r="A595" s="124">
        <v>45381</v>
      </c>
      <c r="B595" s="2">
        <v>58800</v>
      </c>
      <c r="C595" s="2">
        <f t="shared" si="34"/>
        <v>58800</v>
      </c>
      <c r="D595" s="2">
        <v>15000</v>
      </c>
      <c r="E595" s="2">
        <v>102690</v>
      </c>
      <c r="F595" s="2">
        <f t="shared" si="35"/>
        <v>117690</v>
      </c>
      <c r="G595" s="2">
        <f t="shared" si="36"/>
        <v>-58890</v>
      </c>
      <c r="H595"/>
      <c r="J595" s="68"/>
      <c r="K595" s="28"/>
      <c r="L595" s="28"/>
      <c r="M595" s="28"/>
      <c r="N595" s="28"/>
      <c r="O595" s="28"/>
      <c r="P595" s="29"/>
      <c r="Q595" s="54"/>
      <c r="R595" s="30"/>
    </row>
    <row r="596" spans="1:18" ht="15" hidden="1" customHeight="1" x14ac:dyDescent="0.3">
      <c r="A596" s="124">
        <v>45382</v>
      </c>
      <c r="B596" s="2"/>
      <c r="C596" s="2">
        <v>0</v>
      </c>
      <c r="D596" s="2"/>
      <c r="E596" s="2"/>
      <c r="F596" s="2">
        <f t="shared" si="35"/>
        <v>0</v>
      </c>
      <c r="G596" s="2">
        <f t="shared" si="36"/>
        <v>0</v>
      </c>
      <c r="H596"/>
      <c r="J596" s="68"/>
      <c r="K596" s="28"/>
      <c r="L596" s="28"/>
      <c r="M596" s="28"/>
      <c r="N596" s="28"/>
      <c r="O596" s="28"/>
      <c r="P596" s="29"/>
      <c r="Q596" s="54"/>
      <c r="R596" s="30"/>
    </row>
    <row r="597" spans="1:18" ht="15" hidden="1" customHeight="1" x14ac:dyDescent="0.3">
      <c r="A597" s="124" t="s">
        <v>45</v>
      </c>
      <c r="B597" s="2">
        <f>SUM(B566:B596)</f>
        <v>8061950</v>
      </c>
      <c r="C597" s="2">
        <f t="shared" ref="C597:G597" si="37">SUM(C566:C596)</f>
        <v>8061950</v>
      </c>
      <c r="D597" s="2">
        <f t="shared" si="37"/>
        <v>2163531</v>
      </c>
      <c r="E597" s="2">
        <f t="shared" si="37"/>
        <v>1664610</v>
      </c>
      <c r="F597" s="2">
        <f t="shared" si="37"/>
        <v>3828141</v>
      </c>
      <c r="G597" s="2">
        <f t="shared" si="37"/>
        <v>4233809</v>
      </c>
      <c r="H597"/>
      <c r="J597" s="68"/>
      <c r="K597" s="28"/>
      <c r="L597" s="28"/>
      <c r="M597" s="28"/>
      <c r="N597" s="28"/>
      <c r="O597" s="28"/>
      <c r="P597" s="29"/>
      <c r="Q597" s="54"/>
      <c r="R597" s="30"/>
    </row>
    <row r="598" spans="1:18" ht="15" hidden="1" customHeight="1" x14ac:dyDescent="0.3">
      <c r="A598" s="124"/>
      <c r="B598" s="2"/>
      <c r="C598" s="2"/>
      <c r="D598" s="2"/>
      <c r="E598" s="2"/>
      <c r="F598" s="2"/>
      <c r="G598" s="2"/>
      <c r="H598"/>
      <c r="J598" s="68"/>
      <c r="K598" s="28"/>
      <c r="L598" s="28"/>
      <c r="M598" s="28"/>
      <c r="N598" s="28"/>
      <c r="O598" s="28"/>
      <c r="P598" s="29"/>
      <c r="Q598" s="54"/>
      <c r="R598" s="30"/>
    </row>
    <row r="599" spans="1:18" ht="15" hidden="1" customHeight="1" x14ac:dyDescent="0.3">
      <c r="A599" s="124"/>
      <c r="B599" s="2"/>
      <c r="C599" s="2"/>
      <c r="D599" s="2"/>
      <c r="E599" s="2"/>
      <c r="F599" s="2"/>
      <c r="G599" s="2"/>
      <c r="H599"/>
      <c r="J599" s="68"/>
      <c r="K599" s="28"/>
      <c r="L599" s="28"/>
      <c r="M599" s="28"/>
      <c r="N599" s="28"/>
      <c r="O599" s="28"/>
      <c r="P599" s="29"/>
      <c r="Q599" s="54"/>
      <c r="R599" s="30"/>
    </row>
    <row r="600" spans="1:18" ht="15" hidden="1" customHeight="1" x14ac:dyDescent="0.3">
      <c r="A600" s="124"/>
      <c r="B600" s="2"/>
      <c r="C600" s="2"/>
      <c r="D600" s="2"/>
      <c r="E600" s="2"/>
      <c r="F600" s="2"/>
      <c r="G600" s="2"/>
      <c r="H600"/>
      <c r="J600" s="68"/>
      <c r="K600" s="28"/>
      <c r="L600" s="28"/>
      <c r="M600" s="28"/>
      <c r="N600" s="28"/>
      <c r="O600" s="28"/>
      <c r="P600" s="29"/>
      <c r="Q600" s="54"/>
      <c r="R600" s="30"/>
    </row>
    <row r="601" spans="1:18" ht="15" hidden="1" customHeight="1" x14ac:dyDescent="0.3">
      <c r="A601" s="124"/>
      <c r="B601" s="2"/>
      <c r="C601" s="2"/>
      <c r="D601" s="2"/>
      <c r="E601" s="2"/>
      <c r="F601" s="2"/>
      <c r="G601" s="2"/>
      <c r="H601"/>
      <c r="J601" s="68"/>
      <c r="K601" s="28"/>
      <c r="L601" s="28"/>
      <c r="M601" s="28"/>
      <c r="N601" s="28"/>
      <c r="O601" s="28"/>
      <c r="P601" s="29"/>
      <c r="Q601" s="54"/>
      <c r="R601" s="30"/>
    </row>
    <row r="602" spans="1:18" ht="15" hidden="1" customHeight="1" x14ac:dyDescent="0.3">
      <c r="A602" s="124">
        <v>45323</v>
      </c>
      <c r="B602" s="2"/>
      <c r="C602" s="2">
        <f>B602</f>
        <v>0</v>
      </c>
      <c r="D602" s="2">
        <v>300000</v>
      </c>
      <c r="E602" s="2"/>
      <c r="F602" s="2">
        <f>D602+E602</f>
        <v>300000</v>
      </c>
      <c r="G602" s="2">
        <f>C602-F602</f>
        <v>-300000</v>
      </c>
      <c r="H602" s="23" t="s">
        <v>212</v>
      </c>
      <c r="J602" s="68"/>
      <c r="K602" s="28"/>
      <c r="L602" s="28"/>
      <c r="M602" s="28"/>
      <c r="N602" s="28"/>
      <c r="O602" s="28"/>
      <c r="P602" s="29"/>
      <c r="Q602" s="54"/>
      <c r="R602" s="30"/>
    </row>
    <row r="603" spans="1:18" ht="15" hidden="1" customHeight="1" x14ac:dyDescent="0.3">
      <c r="A603" s="124">
        <v>45324</v>
      </c>
      <c r="B603" s="2"/>
      <c r="C603" s="2">
        <f t="shared" ref="C603:C630" si="38">B603</f>
        <v>0</v>
      </c>
      <c r="D603" s="2">
        <v>55896</v>
      </c>
      <c r="E603" s="2">
        <v>28906</v>
      </c>
      <c r="F603" s="2">
        <f t="shared" ref="F603:F631" si="39">D603+E603</f>
        <v>84802</v>
      </c>
      <c r="G603" s="2">
        <f t="shared" ref="G603:G632" si="40">C603-F603</f>
        <v>-84802</v>
      </c>
      <c r="H603" s="90"/>
      <c r="J603" s="68"/>
      <c r="K603" s="28"/>
      <c r="L603" s="28"/>
      <c r="M603" s="28"/>
      <c r="N603" s="28"/>
      <c r="O603" s="28"/>
      <c r="P603" s="29"/>
      <c r="Q603" s="54"/>
      <c r="R603" s="30"/>
    </row>
    <row r="604" spans="1:18" ht="15" hidden="1" customHeight="1" x14ac:dyDescent="0.3">
      <c r="A604" s="124">
        <v>45325</v>
      </c>
      <c r="B604" s="2"/>
      <c r="C604" s="2">
        <f t="shared" si="38"/>
        <v>0</v>
      </c>
      <c r="D604" s="2">
        <v>180000</v>
      </c>
      <c r="E604" s="2"/>
      <c r="F604" s="2">
        <f t="shared" si="39"/>
        <v>180000</v>
      </c>
      <c r="G604" s="2">
        <f t="shared" si="40"/>
        <v>-180000</v>
      </c>
      <c r="H604" s="23"/>
      <c r="J604" s="68"/>
      <c r="K604" s="28"/>
      <c r="L604" s="28"/>
      <c r="M604" s="28"/>
      <c r="N604" s="28"/>
      <c r="O604" s="28"/>
      <c r="P604" s="29"/>
      <c r="Q604" s="54"/>
      <c r="R604" s="30"/>
    </row>
    <row r="605" spans="1:18" ht="15" hidden="1" customHeight="1" x14ac:dyDescent="0.3">
      <c r="A605" s="124">
        <v>45326</v>
      </c>
      <c r="B605" s="2"/>
      <c r="C605" s="2">
        <f t="shared" si="38"/>
        <v>0</v>
      </c>
      <c r="D605" s="2">
        <v>28365</v>
      </c>
      <c r="E605" s="2"/>
      <c r="F605" s="2">
        <f t="shared" si="39"/>
        <v>28365</v>
      </c>
      <c r="G605" s="2">
        <f t="shared" si="40"/>
        <v>-28365</v>
      </c>
      <c r="H605" s="23"/>
      <c r="J605" s="68"/>
      <c r="K605" s="28"/>
      <c r="L605" s="28"/>
      <c r="M605" s="28"/>
      <c r="N605" s="28"/>
      <c r="O605" s="28"/>
      <c r="P605" s="29"/>
      <c r="Q605" s="54"/>
      <c r="R605" s="30"/>
    </row>
    <row r="606" spans="1:18" ht="15" hidden="1" customHeight="1" x14ac:dyDescent="0.3">
      <c r="A606" s="124">
        <v>45327</v>
      </c>
      <c r="B606" s="2"/>
      <c r="C606" s="2">
        <f t="shared" si="38"/>
        <v>0</v>
      </c>
      <c r="D606" s="2">
        <v>35000</v>
      </c>
      <c r="E606" s="2"/>
      <c r="F606" s="2">
        <f t="shared" si="39"/>
        <v>35000</v>
      </c>
      <c r="G606" s="2">
        <f t="shared" si="40"/>
        <v>-35000</v>
      </c>
      <c r="H606" s="23"/>
      <c r="J606" s="68"/>
      <c r="K606" s="28"/>
      <c r="L606" s="28"/>
      <c r="M606" s="28"/>
      <c r="N606" s="28"/>
      <c r="O606" s="28"/>
      <c r="P606" s="29"/>
      <c r="Q606" s="54"/>
      <c r="R606" s="30"/>
    </row>
    <row r="607" spans="1:18" ht="15" hidden="1" customHeight="1" x14ac:dyDescent="0.3">
      <c r="A607" s="124">
        <v>45328</v>
      </c>
      <c r="B607" s="2"/>
      <c r="C607" s="2">
        <f t="shared" si="38"/>
        <v>0</v>
      </c>
      <c r="D607" s="2">
        <v>79131</v>
      </c>
      <c r="E607" s="2">
        <v>265200</v>
      </c>
      <c r="F607" s="2">
        <f t="shared" si="39"/>
        <v>344331</v>
      </c>
      <c r="G607" s="2">
        <f t="shared" si="40"/>
        <v>-344331</v>
      </c>
      <c r="H607" s="23"/>
      <c r="J607" s="68"/>
      <c r="K607" s="28"/>
      <c r="L607" s="28"/>
      <c r="M607" s="28"/>
      <c r="N607" s="28"/>
      <c r="O607" s="28"/>
      <c r="P607" s="29"/>
      <c r="Q607" s="54"/>
      <c r="R607" s="30"/>
    </row>
    <row r="608" spans="1:18" ht="15" hidden="1" customHeight="1" x14ac:dyDescent="0.3">
      <c r="A608" s="124">
        <v>45329</v>
      </c>
      <c r="B608" s="2"/>
      <c r="C608" s="2">
        <f t="shared" si="38"/>
        <v>0</v>
      </c>
      <c r="D608" s="2"/>
      <c r="E608" s="2">
        <v>67348</v>
      </c>
      <c r="F608" s="2">
        <f t="shared" si="39"/>
        <v>67348</v>
      </c>
      <c r="G608" s="2">
        <f t="shared" si="40"/>
        <v>-67348</v>
      </c>
      <c r="H608" s="23"/>
      <c r="J608" s="68"/>
      <c r="K608" s="28"/>
      <c r="L608" s="28"/>
      <c r="M608" s="28"/>
      <c r="N608" s="28"/>
      <c r="O608" s="28"/>
      <c r="P608" s="29"/>
      <c r="Q608" s="54"/>
      <c r="R608" s="30"/>
    </row>
    <row r="609" spans="1:18" ht="15" hidden="1" customHeight="1" x14ac:dyDescent="0.3">
      <c r="A609" s="124">
        <v>45330</v>
      </c>
      <c r="B609" s="2"/>
      <c r="C609" s="2">
        <f t="shared" si="38"/>
        <v>0</v>
      </c>
      <c r="D609" s="2"/>
      <c r="E609" s="2"/>
      <c r="F609" s="2">
        <f t="shared" si="39"/>
        <v>0</v>
      </c>
      <c r="G609" s="2">
        <f t="shared" si="40"/>
        <v>0</v>
      </c>
      <c r="H609" s="23"/>
      <c r="J609" s="68"/>
      <c r="K609" s="28"/>
      <c r="L609" s="28"/>
      <c r="M609" s="28"/>
      <c r="N609" s="28"/>
      <c r="O609" s="28"/>
      <c r="P609" s="29"/>
      <c r="Q609" s="54"/>
      <c r="R609" s="30"/>
    </row>
    <row r="610" spans="1:18" ht="15" hidden="1" customHeight="1" x14ac:dyDescent="0.3">
      <c r="A610" s="124">
        <v>45331</v>
      </c>
      <c r="B610" s="2"/>
      <c r="C610" s="2">
        <f t="shared" si="38"/>
        <v>0</v>
      </c>
      <c r="D610" s="2">
        <v>5420</v>
      </c>
      <c r="E610" s="2"/>
      <c r="F610" s="2">
        <f t="shared" si="39"/>
        <v>5420</v>
      </c>
      <c r="G610" s="2">
        <f t="shared" si="40"/>
        <v>-5420</v>
      </c>
      <c r="H610" s="23"/>
      <c r="J610" s="68"/>
      <c r="K610" s="28"/>
      <c r="L610" s="28"/>
      <c r="M610" s="28"/>
      <c r="N610" s="28"/>
      <c r="O610" s="28"/>
      <c r="P610" s="29"/>
      <c r="Q610" s="54"/>
      <c r="R610" s="30"/>
    </row>
    <row r="611" spans="1:18" ht="15" hidden="1" customHeight="1" x14ac:dyDescent="0.3">
      <c r="A611" s="124">
        <v>45332</v>
      </c>
      <c r="B611" s="2">
        <v>30000</v>
      </c>
      <c r="C611" s="2">
        <f t="shared" si="38"/>
        <v>30000</v>
      </c>
      <c r="D611" s="2">
        <v>451799</v>
      </c>
      <c r="E611" s="2"/>
      <c r="F611" s="2">
        <f t="shared" si="39"/>
        <v>451799</v>
      </c>
      <c r="G611" s="2">
        <f t="shared" si="40"/>
        <v>-421799</v>
      </c>
      <c r="H611" s="133" t="s">
        <v>228</v>
      </c>
      <c r="J611" s="68"/>
      <c r="K611" s="28"/>
      <c r="L611" s="28"/>
      <c r="M611" s="28"/>
      <c r="N611" s="28"/>
      <c r="O611" s="28"/>
      <c r="P611" s="29"/>
      <c r="Q611" s="54"/>
      <c r="R611" s="30"/>
    </row>
    <row r="612" spans="1:18" ht="15" hidden="1" customHeight="1" x14ac:dyDescent="0.3">
      <c r="A612" s="124">
        <v>45333</v>
      </c>
      <c r="B612" s="2">
        <v>32000</v>
      </c>
      <c r="C612" s="2">
        <f t="shared" si="38"/>
        <v>32000</v>
      </c>
      <c r="D612" s="2">
        <v>22000</v>
      </c>
      <c r="E612" s="2">
        <v>17293</v>
      </c>
      <c r="F612" s="2">
        <f t="shared" si="39"/>
        <v>39293</v>
      </c>
      <c r="G612" s="2">
        <f t="shared" si="40"/>
        <v>-7293</v>
      </c>
      <c r="H612" s="131" t="s">
        <v>226</v>
      </c>
      <c r="J612" s="68"/>
      <c r="K612" s="28"/>
      <c r="L612" s="28"/>
      <c r="M612" s="28"/>
      <c r="N612" s="28"/>
      <c r="O612" s="28"/>
      <c r="P612" s="29"/>
      <c r="Q612" s="54"/>
      <c r="R612" s="30"/>
    </row>
    <row r="613" spans="1:18" ht="15" hidden="1" customHeight="1" x14ac:dyDescent="0.3">
      <c r="A613" s="124">
        <v>45334</v>
      </c>
      <c r="B613" s="2"/>
      <c r="C613" s="2">
        <f t="shared" si="38"/>
        <v>0</v>
      </c>
      <c r="D613" s="2">
        <v>13864</v>
      </c>
      <c r="E613" s="2">
        <v>258730</v>
      </c>
      <c r="F613" s="2">
        <f t="shared" si="39"/>
        <v>272594</v>
      </c>
      <c r="G613" s="2">
        <f t="shared" si="40"/>
        <v>-272594</v>
      </c>
      <c r="H613" s="23" t="s">
        <v>227</v>
      </c>
      <c r="J613" s="68"/>
      <c r="K613" s="28"/>
      <c r="L613" s="28"/>
      <c r="M613" s="28"/>
      <c r="N613" s="28"/>
      <c r="O613" s="28"/>
      <c r="P613" s="29"/>
      <c r="Q613" s="54"/>
      <c r="R613" s="30"/>
    </row>
    <row r="614" spans="1:18" ht="15" hidden="1" customHeight="1" x14ac:dyDescent="0.3">
      <c r="A614" s="124">
        <v>45335</v>
      </c>
      <c r="B614" s="2"/>
      <c r="C614" s="2">
        <f t="shared" si="38"/>
        <v>0</v>
      </c>
      <c r="D614" s="2"/>
      <c r="E614" s="2"/>
      <c r="F614" s="2">
        <f t="shared" si="39"/>
        <v>0</v>
      </c>
      <c r="G614" s="2">
        <f t="shared" si="40"/>
        <v>0</v>
      </c>
      <c r="H614" s="23"/>
      <c r="J614" s="68"/>
      <c r="K614" s="28"/>
      <c r="L614" s="28"/>
      <c r="M614" s="28"/>
      <c r="N614" s="28"/>
      <c r="O614" s="28"/>
      <c r="P614" s="29"/>
      <c r="Q614" s="54"/>
      <c r="R614" s="30"/>
    </row>
    <row r="615" spans="1:18" ht="15" hidden="1" customHeight="1" x14ac:dyDescent="0.3">
      <c r="A615" s="124">
        <v>45336</v>
      </c>
      <c r="B615" s="2"/>
      <c r="C615" s="2">
        <f t="shared" si="38"/>
        <v>0</v>
      </c>
      <c r="D615" s="2">
        <v>9878</v>
      </c>
      <c r="E615" s="2"/>
      <c r="F615" s="2">
        <f t="shared" si="39"/>
        <v>9878</v>
      </c>
      <c r="G615" s="2">
        <f t="shared" si="40"/>
        <v>-9878</v>
      </c>
      <c r="H615" s="23"/>
      <c r="J615" s="68"/>
      <c r="K615" s="28"/>
      <c r="L615" s="28"/>
      <c r="M615" s="28"/>
      <c r="N615" s="28"/>
      <c r="O615" s="28"/>
      <c r="P615" s="29"/>
      <c r="Q615" s="54"/>
      <c r="R615" s="30"/>
    </row>
    <row r="616" spans="1:18" ht="15" hidden="1" customHeight="1" x14ac:dyDescent="0.3">
      <c r="A616" s="124">
        <v>45337</v>
      </c>
      <c r="B616" s="2"/>
      <c r="C616" s="2">
        <f t="shared" si="38"/>
        <v>0</v>
      </c>
      <c r="D616" s="2">
        <v>67800</v>
      </c>
      <c r="E616" s="2">
        <v>41367</v>
      </c>
      <c r="F616" s="2">
        <f t="shared" si="39"/>
        <v>109167</v>
      </c>
      <c r="G616" s="2">
        <f t="shared" si="40"/>
        <v>-109167</v>
      </c>
      <c r="H616" s="23"/>
      <c r="J616" s="68"/>
      <c r="K616" s="28"/>
      <c r="L616" s="28"/>
      <c r="M616" s="28"/>
      <c r="N616" s="28"/>
      <c r="O616" s="28"/>
      <c r="P616" s="29"/>
      <c r="Q616" s="54"/>
      <c r="R616" s="30"/>
    </row>
    <row r="617" spans="1:18" ht="15" hidden="1" customHeight="1" x14ac:dyDescent="0.3">
      <c r="A617" s="124">
        <v>45338</v>
      </c>
      <c r="B617" s="2"/>
      <c r="C617" s="2">
        <f t="shared" si="38"/>
        <v>0</v>
      </c>
      <c r="D617" s="2"/>
      <c r="E617" s="2"/>
      <c r="F617" s="2">
        <f t="shared" si="39"/>
        <v>0</v>
      </c>
      <c r="G617" s="2">
        <f t="shared" si="40"/>
        <v>0</v>
      </c>
      <c r="H617" s="56"/>
      <c r="J617" s="68"/>
      <c r="K617" s="28"/>
      <c r="L617" s="28"/>
      <c r="M617" s="28"/>
      <c r="N617" s="28"/>
      <c r="O617" s="28"/>
      <c r="P617" s="29"/>
      <c r="Q617" s="54"/>
      <c r="R617" s="30"/>
    </row>
    <row r="618" spans="1:18" ht="15" hidden="1" customHeight="1" x14ac:dyDescent="0.3">
      <c r="A618" s="124">
        <v>45339</v>
      </c>
      <c r="B618" s="2"/>
      <c r="C618" s="2">
        <f t="shared" si="38"/>
        <v>0</v>
      </c>
      <c r="D618" s="2"/>
      <c r="E618" s="2"/>
      <c r="F618" s="2">
        <f t="shared" si="39"/>
        <v>0</v>
      </c>
      <c r="G618" s="2">
        <f t="shared" si="40"/>
        <v>0</v>
      </c>
      <c r="H618" s="23"/>
      <c r="J618" s="68"/>
      <c r="K618" s="28"/>
      <c r="L618" s="28"/>
      <c r="M618" s="28"/>
      <c r="N618" s="28"/>
      <c r="O618" s="28"/>
      <c r="P618" s="29"/>
      <c r="Q618" s="54"/>
      <c r="R618" s="30"/>
    </row>
    <row r="619" spans="1:18" ht="15" hidden="1" customHeight="1" x14ac:dyDescent="0.3">
      <c r="A619" s="124">
        <v>45340</v>
      </c>
      <c r="B619" s="2"/>
      <c r="C619" s="2">
        <f t="shared" si="38"/>
        <v>0</v>
      </c>
      <c r="D619" s="2">
        <v>32145</v>
      </c>
      <c r="E619" s="2"/>
      <c r="F619" s="2">
        <f t="shared" si="39"/>
        <v>32145</v>
      </c>
      <c r="G619" s="2">
        <f t="shared" si="40"/>
        <v>-32145</v>
      </c>
      <c r="H619" s="23"/>
      <c r="J619" s="68"/>
      <c r="K619" s="28"/>
      <c r="L619" s="28"/>
      <c r="M619" s="28"/>
      <c r="N619" s="28"/>
      <c r="O619" s="28"/>
      <c r="P619" s="29"/>
      <c r="Q619" s="54"/>
      <c r="R619" s="30"/>
    </row>
    <row r="620" spans="1:18" ht="15" hidden="1" customHeight="1" x14ac:dyDescent="0.3">
      <c r="A620" s="124">
        <v>45341</v>
      </c>
      <c r="B620" s="2">
        <v>30000</v>
      </c>
      <c r="C620" s="2">
        <f t="shared" si="38"/>
        <v>30000</v>
      </c>
      <c r="D620" s="2">
        <v>216578</v>
      </c>
      <c r="E620" s="2">
        <v>16682</v>
      </c>
      <c r="F620" s="2">
        <f t="shared" si="39"/>
        <v>233260</v>
      </c>
      <c r="G620" s="2">
        <f t="shared" si="40"/>
        <v>-203260</v>
      </c>
      <c r="H620" s="127" t="s">
        <v>213</v>
      </c>
      <c r="J620" s="68"/>
      <c r="K620" s="28"/>
      <c r="L620" s="28"/>
      <c r="M620" s="28"/>
      <c r="N620" s="28"/>
      <c r="O620" s="28"/>
      <c r="P620" s="29"/>
      <c r="Q620" s="54"/>
      <c r="R620" s="30"/>
    </row>
    <row r="621" spans="1:18" ht="15" hidden="1" customHeight="1" x14ac:dyDescent="0.3">
      <c r="A621" s="124">
        <v>45342</v>
      </c>
      <c r="B621" s="2"/>
      <c r="C621" s="2">
        <f t="shared" si="38"/>
        <v>0</v>
      </c>
      <c r="D621" s="2">
        <v>28119</v>
      </c>
      <c r="E621" s="2">
        <v>3700</v>
      </c>
      <c r="F621" s="2">
        <f t="shared" si="39"/>
        <v>31819</v>
      </c>
      <c r="G621" s="2">
        <f t="shared" si="40"/>
        <v>-31819</v>
      </c>
      <c r="H621" s="23"/>
      <c r="J621" s="68"/>
      <c r="K621" s="28"/>
      <c r="L621" s="28"/>
      <c r="M621" s="28"/>
      <c r="N621" s="28"/>
      <c r="O621" s="28"/>
      <c r="P621" s="29"/>
      <c r="Q621" s="54"/>
      <c r="R621" s="30"/>
    </row>
    <row r="622" spans="1:18" ht="15" hidden="1" customHeight="1" x14ac:dyDescent="0.3">
      <c r="A622" s="124">
        <v>45343</v>
      </c>
      <c r="B622" s="2"/>
      <c r="C622" s="2">
        <f t="shared" si="38"/>
        <v>0</v>
      </c>
      <c r="D622" s="2">
        <v>17440</v>
      </c>
      <c r="E622" s="2">
        <v>75337.100000000006</v>
      </c>
      <c r="F622" s="2">
        <f t="shared" si="39"/>
        <v>92777.1</v>
      </c>
      <c r="G622" s="2">
        <f t="shared" si="40"/>
        <v>-92777.1</v>
      </c>
      <c r="H622" s="23"/>
      <c r="J622" s="68"/>
      <c r="K622" s="28"/>
      <c r="L622" s="28"/>
      <c r="M622" s="28"/>
      <c r="N622" s="28"/>
      <c r="O622" s="28"/>
      <c r="P622" s="29"/>
      <c r="Q622" s="54"/>
      <c r="R622" s="30"/>
    </row>
    <row r="623" spans="1:18" ht="15" hidden="1" customHeight="1" x14ac:dyDescent="0.3">
      <c r="A623" s="124">
        <v>45344</v>
      </c>
      <c r="B623" s="2"/>
      <c r="C623" s="2">
        <f t="shared" si="38"/>
        <v>0</v>
      </c>
      <c r="D623" s="2"/>
      <c r="E623" s="2">
        <v>34355</v>
      </c>
      <c r="F623" s="2">
        <f t="shared" si="39"/>
        <v>34355</v>
      </c>
      <c r="G623" s="2">
        <f t="shared" si="40"/>
        <v>-34355</v>
      </c>
      <c r="H623"/>
      <c r="J623" s="68"/>
      <c r="K623" s="28"/>
      <c r="L623" s="28"/>
      <c r="M623" s="28"/>
      <c r="N623" s="28"/>
      <c r="O623" s="28"/>
      <c r="P623" s="29"/>
      <c r="Q623" s="54"/>
      <c r="R623" s="30"/>
    </row>
    <row r="624" spans="1:18" ht="15" hidden="1" customHeight="1" x14ac:dyDescent="0.3">
      <c r="A624" s="124">
        <v>45345</v>
      </c>
      <c r="B624" s="2"/>
      <c r="C624" s="2">
        <f t="shared" si="38"/>
        <v>0</v>
      </c>
      <c r="D624" s="2">
        <v>98410</v>
      </c>
      <c r="E624" s="2">
        <v>58808</v>
      </c>
      <c r="F624" s="2">
        <f t="shared" si="39"/>
        <v>157218</v>
      </c>
      <c r="G624" s="2">
        <f t="shared" si="40"/>
        <v>-157218</v>
      </c>
      <c r="H624"/>
      <c r="J624" s="68"/>
      <c r="K624" s="28"/>
      <c r="L624" s="28"/>
      <c r="M624" s="28"/>
      <c r="N624" s="28"/>
      <c r="O624" s="28"/>
      <c r="P624" s="29"/>
      <c r="Q624" s="54"/>
      <c r="R624" s="30"/>
    </row>
    <row r="625" spans="1:18" ht="15" hidden="1" customHeight="1" x14ac:dyDescent="0.3">
      <c r="A625" s="124">
        <v>45346</v>
      </c>
      <c r="B625" s="2">
        <v>2465000</v>
      </c>
      <c r="C625" s="2">
        <f t="shared" si="38"/>
        <v>2465000</v>
      </c>
      <c r="D625" s="2">
        <v>409564</v>
      </c>
      <c r="E625" s="2">
        <v>42776</v>
      </c>
      <c r="F625" s="2">
        <f t="shared" si="39"/>
        <v>452340</v>
      </c>
      <c r="G625" s="2">
        <f t="shared" si="40"/>
        <v>2012660</v>
      </c>
      <c r="H625"/>
      <c r="J625" s="68"/>
      <c r="K625" s="28"/>
      <c r="L625" s="28"/>
      <c r="M625" s="28"/>
      <c r="N625" s="28"/>
      <c r="O625" s="28"/>
      <c r="P625" s="29"/>
      <c r="Q625" s="54"/>
      <c r="R625" s="30"/>
    </row>
    <row r="626" spans="1:18" ht="15" hidden="1" customHeight="1" x14ac:dyDescent="0.3">
      <c r="A626" s="124">
        <v>45347</v>
      </c>
      <c r="B626" s="2"/>
      <c r="C626" s="2">
        <f t="shared" si="38"/>
        <v>0</v>
      </c>
      <c r="D626" s="2"/>
      <c r="E626" s="2"/>
      <c r="F626" s="2">
        <f t="shared" si="39"/>
        <v>0</v>
      </c>
      <c r="G626" s="2">
        <f t="shared" si="40"/>
        <v>0</v>
      </c>
      <c r="H626"/>
      <c r="J626" s="68"/>
      <c r="K626" s="28"/>
      <c r="L626" s="28"/>
      <c r="M626" s="28"/>
      <c r="N626" s="28"/>
      <c r="O626" s="28"/>
      <c r="P626" s="29"/>
      <c r="Q626" s="54"/>
      <c r="R626" s="30"/>
    </row>
    <row r="627" spans="1:18" ht="15" hidden="1" customHeight="1" x14ac:dyDescent="0.3">
      <c r="A627" s="124">
        <v>45348</v>
      </c>
      <c r="B627" s="2"/>
      <c r="C627" s="2">
        <f t="shared" si="38"/>
        <v>0</v>
      </c>
      <c r="D627" s="2"/>
      <c r="E627" s="2"/>
      <c r="F627" s="2">
        <f t="shared" si="39"/>
        <v>0</v>
      </c>
      <c r="G627" s="2">
        <f t="shared" si="40"/>
        <v>0</v>
      </c>
      <c r="H627"/>
      <c r="J627" s="68"/>
      <c r="K627" s="28"/>
      <c r="L627" s="28"/>
      <c r="M627" s="28"/>
      <c r="N627" s="28"/>
      <c r="O627" s="28"/>
      <c r="P627" s="29"/>
      <c r="Q627" s="54"/>
      <c r="R627" s="30"/>
    </row>
    <row r="628" spans="1:18" ht="15" hidden="1" customHeight="1" x14ac:dyDescent="0.3">
      <c r="A628" s="124">
        <v>45349</v>
      </c>
      <c r="B628" s="2"/>
      <c r="C628" s="2">
        <f t="shared" si="38"/>
        <v>0</v>
      </c>
      <c r="D628" s="2">
        <v>22500</v>
      </c>
      <c r="E628" s="2">
        <v>17600</v>
      </c>
      <c r="F628" s="2">
        <f t="shared" si="39"/>
        <v>40100</v>
      </c>
      <c r="G628" s="2">
        <f t="shared" si="40"/>
        <v>-40100</v>
      </c>
      <c r="H628" t="s">
        <v>218</v>
      </c>
      <c r="J628" s="68"/>
      <c r="K628" s="28"/>
      <c r="L628" s="28"/>
      <c r="M628" s="28"/>
      <c r="N628" s="28"/>
      <c r="O628" s="28"/>
      <c r="P628" s="29"/>
      <c r="Q628" s="54"/>
      <c r="R628" s="30"/>
    </row>
    <row r="629" spans="1:18" ht="15" hidden="1" customHeight="1" x14ac:dyDescent="0.3">
      <c r="A629" s="124">
        <v>45350</v>
      </c>
      <c r="B629" s="2"/>
      <c r="C629" s="2">
        <f t="shared" si="38"/>
        <v>0</v>
      </c>
      <c r="D629" s="2">
        <v>16990</v>
      </c>
      <c r="E629" s="2">
        <v>11500</v>
      </c>
      <c r="F629" s="2">
        <f t="shared" si="39"/>
        <v>28490</v>
      </c>
      <c r="G629" s="2">
        <f t="shared" si="40"/>
        <v>-28490</v>
      </c>
      <c r="H629"/>
      <c r="J629" s="68"/>
      <c r="K629" s="28"/>
      <c r="L629" s="28"/>
      <c r="M629" s="28"/>
      <c r="N629" s="28"/>
      <c r="O629" s="28"/>
      <c r="P629" s="29"/>
      <c r="Q629" s="54"/>
      <c r="R629" s="30"/>
    </row>
    <row r="630" spans="1:18" ht="15" hidden="1" customHeight="1" x14ac:dyDescent="0.3">
      <c r="A630" s="124">
        <v>45351</v>
      </c>
      <c r="B630" s="2">
        <v>100000</v>
      </c>
      <c r="C630" s="2">
        <f t="shared" si="38"/>
        <v>100000</v>
      </c>
      <c r="D630" s="2">
        <f>22716+15000</f>
        <v>37716</v>
      </c>
      <c r="E630" s="2">
        <v>552878</v>
      </c>
      <c r="F630" s="2">
        <f t="shared" si="39"/>
        <v>590594</v>
      </c>
      <c r="G630" s="2">
        <f t="shared" si="40"/>
        <v>-490594</v>
      </c>
      <c r="H630"/>
      <c r="J630" s="68"/>
      <c r="K630" s="28"/>
      <c r="L630" s="28"/>
      <c r="M630" s="28"/>
      <c r="N630" s="28"/>
      <c r="O630" s="28"/>
      <c r="P630" s="29"/>
      <c r="Q630" s="54"/>
      <c r="R630" s="30"/>
    </row>
    <row r="631" spans="1:18" ht="15" hidden="1" customHeight="1" x14ac:dyDescent="0.3">
      <c r="A631" s="124"/>
      <c r="B631" s="2"/>
      <c r="C631" s="2">
        <v>0</v>
      </c>
      <c r="D631" s="2"/>
      <c r="E631" s="2"/>
      <c r="F631" s="2">
        <f t="shared" si="39"/>
        <v>0</v>
      </c>
      <c r="G631" s="2">
        <f t="shared" si="40"/>
        <v>0</v>
      </c>
      <c r="H631"/>
      <c r="J631" s="68"/>
      <c r="K631" s="28"/>
      <c r="L631" s="28"/>
      <c r="M631" s="28"/>
      <c r="N631" s="28"/>
      <c r="O631" s="28"/>
      <c r="P631" s="29"/>
      <c r="Q631" s="54"/>
      <c r="R631" s="30"/>
    </row>
    <row r="632" spans="1:18" ht="15" hidden="1" customHeight="1" x14ac:dyDescent="0.3">
      <c r="A632" s="124"/>
      <c r="B632" s="2"/>
      <c r="C632" s="2">
        <v>0</v>
      </c>
      <c r="D632" s="2"/>
      <c r="E632" s="2"/>
      <c r="F632" s="2">
        <v>0</v>
      </c>
      <c r="G632" s="2">
        <f t="shared" si="40"/>
        <v>0</v>
      </c>
      <c r="H632"/>
      <c r="J632" s="68"/>
      <c r="K632" s="28"/>
      <c r="L632" s="28"/>
      <c r="M632" s="28"/>
      <c r="N632" s="28"/>
      <c r="O632" s="28"/>
      <c r="P632" s="29"/>
      <c r="Q632" s="54"/>
      <c r="R632" s="30"/>
    </row>
    <row r="633" spans="1:18" ht="15" hidden="1" customHeight="1" x14ac:dyDescent="0.3">
      <c r="A633" s="34" t="s">
        <v>44</v>
      </c>
      <c r="B633" s="2">
        <f>SUM(B602:B630)</f>
        <v>2657000</v>
      </c>
      <c r="C633" s="2">
        <f t="shared" ref="C633:F633" si="41">SUM(C602:C630)</f>
        <v>2657000</v>
      </c>
      <c r="D633" s="2">
        <f t="shared" si="41"/>
        <v>2128615</v>
      </c>
      <c r="E633" s="2">
        <f t="shared" si="41"/>
        <v>1492480.1</v>
      </c>
      <c r="F633" s="2">
        <f t="shared" si="41"/>
        <v>3621095.1</v>
      </c>
      <c r="G633" s="136">
        <f>C633-F633</f>
        <v>-964095.10000000009</v>
      </c>
      <c r="H633"/>
      <c r="J633" s="68"/>
      <c r="K633" s="28"/>
      <c r="L633" s="28"/>
      <c r="M633" s="28"/>
      <c r="N633" s="28"/>
      <c r="O633" s="28"/>
      <c r="P633" s="29"/>
      <c r="Q633" s="54"/>
      <c r="R633" s="30"/>
    </row>
    <row r="634" spans="1:18" ht="15" hidden="1" customHeight="1" x14ac:dyDescent="0.3">
      <c r="A634" s="124"/>
      <c r="B634" s="2"/>
      <c r="C634" s="2"/>
      <c r="D634" s="2"/>
      <c r="E634" s="2"/>
      <c r="F634" s="2"/>
      <c r="G634" s="2"/>
      <c r="H634"/>
      <c r="J634" s="68"/>
      <c r="K634" s="28"/>
      <c r="L634" s="28"/>
      <c r="M634" s="28"/>
      <c r="N634" s="28"/>
      <c r="O634" s="28"/>
      <c r="P634" s="29"/>
      <c r="Q634" s="54"/>
      <c r="R634" s="30"/>
    </row>
    <row r="635" spans="1:18" ht="15" hidden="1" customHeight="1" x14ac:dyDescent="0.3">
      <c r="A635" s="124"/>
      <c r="B635" s="2"/>
      <c r="C635" s="2"/>
      <c r="D635" s="2"/>
      <c r="E635" s="2"/>
      <c r="F635" s="2"/>
      <c r="G635" s="2"/>
      <c r="H635"/>
      <c r="J635" s="68"/>
      <c r="K635" s="28"/>
      <c r="L635" s="28"/>
      <c r="M635" s="28"/>
      <c r="N635" s="28"/>
      <c r="O635" s="28"/>
      <c r="P635" s="29"/>
      <c r="Q635" s="54"/>
      <c r="R635" s="30"/>
    </row>
    <row r="636" spans="1:18" ht="15" hidden="1" customHeight="1" x14ac:dyDescent="0.3">
      <c r="A636" s="124"/>
      <c r="B636" s="2"/>
      <c r="C636" s="2"/>
      <c r="D636" s="2"/>
      <c r="E636" s="2"/>
      <c r="F636" s="2"/>
      <c r="G636" s="2"/>
      <c r="H636"/>
      <c r="J636" s="68"/>
      <c r="K636" s="28"/>
      <c r="L636" s="28"/>
      <c r="M636" s="28"/>
      <c r="N636" s="28"/>
      <c r="O636" s="28"/>
      <c r="P636" s="29"/>
      <c r="Q636" s="54"/>
      <c r="R636" s="30"/>
    </row>
    <row r="637" spans="1:18" ht="15" hidden="1" customHeight="1" x14ac:dyDescent="0.3">
      <c r="A637" s="124">
        <v>45292</v>
      </c>
      <c r="B637" s="2"/>
      <c r="C637" s="2">
        <f>B637</f>
        <v>0</v>
      </c>
      <c r="D637" s="2"/>
      <c r="E637" s="2"/>
      <c r="F637" s="2">
        <f>D637+E637</f>
        <v>0</v>
      </c>
      <c r="G637" s="2">
        <f>C637-F637</f>
        <v>0</v>
      </c>
      <c r="H637"/>
      <c r="J637" s="68"/>
      <c r="K637" s="28"/>
      <c r="L637" s="28"/>
      <c r="M637" s="28"/>
      <c r="N637" s="28"/>
      <c r="O637" s="28"/>
      <c r="P637" s="29"/>
      <c r="Q637" s="54"/>
      <c r="R637" s="30"/>
    </row>
    <row r="638" spans="1:18" ht="15" hidden="1" customHeight="1" x14ac:dyDescent="0.3">
      <c r="A638" s="124">
        <v>45293</v>
      </c>
      <c r="B638" s="2"/>
      <c r="C638" s="2">
        <f t="shared" ref="C638:C667" si="42">B638</f>
        <v>0</v>
      </c>
      <c r="D638" s="2"/>
      <c r="E638" s="2"/>
      <c r="F638" s="2">
        <f t="shared" ref="F638:F667" si="43">D638+E638</f>
        <v>0</v>
      </c>
      <c r="G638" s="2">
        <f t="shared" ref="G638:G666" si="44">C638-F638</f>
        <v>0</v>
      </c>
      <c r="H638"/>
      <c r="J638" s="68"/>
      <c r="K638" s="28"/>
      <c r="L638" s="28"/>
      <c r="M638" s="28"/>
      <c r="N638" s="28"/>
      <c r="O638" s="28"/>
      <c r="P638" s="29"/>
      <c r="Q638" s="54"/>
      <c r="R638" s="30"/>
    </row>
    <row r="639" spans="1:18" ht="15" hidden="1" customHeight="1" x14ac:dyDescent="0.3">
      <c r="A639" s="124">
        <v>45294</v>
      </c>
      <c r="B639" s="2"/>
      <c r="C639" s="2">
        <f t="shared" si="42"/>
        <v>0</v>
      </c>
      <c r="D639" s="2"/>
      <c r="E639" s="2"/>
      <c r="F639" s="2">
        <f t="shared" si="43"/>
        <v>0</v>
      </c>
      <c r="G639" s="2">
        <f t="shared" si="44"/>
        <v>0</v>
      </c>
      <c r="H639"/>
      <c r="J639" s="68"/>
      <c r="K639" s="28"/>
      <c r="L639" s="28"/>
      <c r="M639" s="28"/>
      <c r="N639" s="28"/>
      <c r="O639" s="28"/>
      <c r="P639" s="29"/>
      <c r="Q639" s="54"/>
      <c r="R639" s="30"/>
    </row>
    <row r="640" spans="1:18" ht="15" hidden="1" customHeight="1" x14ac:dyDescent="0.3">
      <c r="A640" s="124">
        <v>45295</v>
      </c>
      <c r="B640" s="2"/>
      <c r="C640" s="2">
        <f t="shared" si="42"/>
        <v>0</v>
      </c>
      <c r="D640" s="2"/>
      <c r="E640" s="2"/>
      <c r="F640" s="2">
        <f t="shared" si="43"/>
        <v>0</v>
      </c>
      <c r="G640" s="2">
        <f t="shared" si="44"/>
        <v>0</v>
      </c>
      <c r="H640"/>
      <c r="J640" s="68"/>
      <c r="K640" s="28"/>
      <c r="L640" s="28"/>
      <c r="M640" s="28"/>
      <c r="N640" s="28"/>
      <c r="O640" s="28"/>
      <c r="P640" s="29"/>
      <c r="Q640" s="54"/>
      <c r="R640" s="30"/>
    </row>
    <row r="641" spans="1:18" ht="15" hidden="1" customHeight="1" x14ac:dyDescent="0.3">
      <c r="A641" s="124">
        <v>45296</v>
      </c>
      <c r="B641" s="2"/>
      <c r="C641" s="2">
        <f t="shared" si="42"/>
        <v>0</v>
      </c>
      <c r="D641" s="2">
        <v>300000</v>
      </c>
      <c r="E641" s="2"/>
      <c r="F641" s="2">
        <f t="shared" si="43"/>
        <v>300000</v>
      </c>
      <c r="G641" s="2">
        <f t="shared" si="44"/>
        <v>-300000</v>
      </c>
      <c r="H641" t="s">
        <v>212</v>
      </c>
      <c r="J641" s="68"/>
      <c r="K641" s="28"/>
      <c r="L641" s="28"/>
      <c r="M641" s="28"/>
      <c r="N641" s="28"/>
      <c r="O641" s="28"/>
      <c r="P641" s="29"/>
      <c r="Q641" s="54"/>
      <c r="R641" s="30"/>
    </row>
    <row r="642" spans="1:18" ht="15" hidden="1" customHeight="1" x14ac:dyDescent="0.3">
      <c r="A642" s="124">
        <v>45297</v>
      </c>
      <c r="B642" s="2"/>
      <c r="C642" s="2">
        <f t="shared" si="42"/>
        <v>0</v>
      </c>
      <c r="D642" s="2">
        <v>20950</v>
      </c>
      <c r="E642" s="2"/>
      <c r="F642" s="2">
        <f t="shared" si="43"/>
        <v>20950</v>
      </c>
      <c r="G642" s="2">
        <f t="shared" si="44"/>
        <v>-20950</v>
      </c>
      <c r="H642" t="s">
        <v>186</v>
      </c>
      <c r="J642" s="68"/>
      <c r="K642" s="28"/>
      <c r="L642" s="28"/>
      <c r="M642" s="28"/>
      <c r="N642" s="28"/>
      <c r="O642" s="28"/>
      <c r="P642" s="29"/>
      <c r="Q642" s="54"/>
      <c r="R642" s="30"/>
    </row>
    <row r="643" spans="1:18" ht="15" hidden="1" customHeight="1" x14ac:dyDescent="0.3">
      <c r="A643" s="124">
        <v>45298</v>
      </c>
      <c r="B643" s="2"/>
      <c r="C643" s="2">
        <f t="shared" si="42"/>
        <v>0</v>
      </c>
      <c r="D643" s="2"/>
      <c r="E643" s="2">
        <v>45730</v>
      </c>
      <c r="F643" s="2">
        <f t="shared" si="43"/>
        <v>45730</v>
      </c>
      <c r="G643" s="2">
        <f t="shared" si="44"/>
        <v>-45730</v>
      </c>
      <c r="H643"/>
      <c r="J643" s="68"/>
      <c r="K643" s="28"/>
      <c r="L643" s="28"/>
      <c r="M643" s="28"/>
      <c r="N643" s="28"/>
      <c r="O643" s="28"/>
      <c r="P643" s="29"/>
      <c r="Q643" s="54"/>
      <c r="R643" s="30"/>
    </row>
    <row r="644" spans="1:18" ht="15" hidden="1" customHeight="1" x14ac:dyDescent="0.3">
      <c r="A644" s="124">
        <v>45299</v>
      </c>
      <c r="B644" s="2"/>
      <c r="C644" s="2">
        <f t="shared" si="42"/>
        <v>0</v>
      </c>
      <c r="D644" s="2">
        <v>154330</v>
      </c>
      <c r="E644" s="2">
        <v>100751.53846153845</v>
      </c>
      <c r="F644" s="2">
        <f t="shared" si="43"/>
        <v>255081.53846153844</v>
      </c>
      <c r="G644" s="2">
        <f t="shared" si="44"/>
        <v>-255081.53846153844</v>
      </c>
      <c r="H644"/>
      <c r="J644" s="68"/>
      <c r="K644" s="28"/>
      <c r="L644" s="28"/>
      <c r="M644" s="28"/>
      <c r="N644" s="28"/>
      <c r="O644" s="28"/>
      <c r="P644" s="29"/>
      <c r="Q644" s="54"/>
      <c r="R644" s="30"/>
    </row>
    <row r="645" spans="1:18" ht="15" hidden="1" customHeight="1" x14ac:dyDescent="0.3">
      <c r="A645" s="124">
        <v>45300</v>
      </c>
      <c r="B645" s="2"/>
      <c r="C645" s="2">
        <f t="shared" si="42"/>
        <v>0</v>
      </c>
      <c r="D645" s="2">
        <v>215800</v>
      </c>
      <c r="E645" s="2">
        <v>25990</v>
      </c>
      <c r="F645" s="2">
        <f t="shared" si="43"/>
        <v>241790</v>
      </c>
      <c r="G645" s="2">
        <f t="shared" si="44"/>
        <v>-241790</v>
      </c>
      <c r="H645"/>
      <c r="J645" s="68"/>
      <c r="K645" s="28"/>
      <c r="L645" s="28"/>
      <c r="M645" s="28"/>
      <c r="N645" s="28"/>
      <c r="O645" s="28"/>
      <c r="P645" s="29"/>
      <c r="Q645" s="54"/>
      <c r="R645" s="30"/>
    </row>
    <row r="646" spans="1:18" ht="15" hidden="1" customHeight="1" x14ac:dyDescent="0.3">
      <c r="A646" s="124">
        <v>45301</v>
      </c>
      <c r="B646" s="2">
        <v>50000</v>
      </c>
      <c r="C646" s="2">
        <f t="shared" si="42"/>
        <v>50000</v>
      </c>
      <c r="D646" s="2">
        <v>71250</v>
      </c>
      <c r="E646" s="2">
        <v>44938</v>
      </c>
      <c r="F646" s="2">
        <f t="shared" si="43"/>
        <v>116188</v>
      </c>
      <c r="G646" s="2">
        <f t="shared" si="44"/>
        <v>-66188</v>
      </c>
      <c r="H646"/>
      <c r="J646" s="68"/>
      <c r="K646" s="28"/>
      <c r="L646" s="28"/>
      <c r="M646" s="28"/>
      <c r="N646" s="28"/>
      <c r="O646" s="28"/>
      <c r="P646" s="29"/>
      <c r="Q646" s="54"/>
      <c r="R646" s="30"/>
    </row>
    <row r="647" spans="1:18" ht="15" hidden="1" customHeight="1" x14ac:dyDescent="0.3">
      <c r="A647" s="124">
        <v>45302</v>
      </c>
      <c r="B647" s="2">
        <v>574000</v>
      </c>
      <c r="C647" s="2">
        <f t="shared" si="42"/>
        <v>574000</v>
      </c>
      <c r="D647" s="2">
        <v>131715</v>
      </c>
      <c r="E647" s="2">
        <v>510829</v>
      </c>
      <c r="F647" s="2">
        <f t="shared" si="43"/>
        <v>642544</v>
      </c>
      <c r="G647" s="2">
        <f t="shared" si="44"/>
        <v>-68544</v>
      </c>
      <c r="H647"/>
      <c r="J647" s="68"/>
      <c r="K647" s="28"/>
      <c r="L647" s="28"/>
      <c r="M647" s="28"/>
      <c r="N647" s="28"/>
      <c r="O647" s="28"/>
      <c r="P647" s="29"/>
      <c r="Q647" s="54"/>
      <c r="R647" s="30"/>
    </row>
    <row r="648" spans="1:18" ht="15" hidden="1" customHeight="1" x14ac:dyDescent="0.3">
      <c r="A648" s="124">
        <v>45303</v>
      </c>
      <c r="B648" s="2"/>
      <c r="C648" s="2">
        <f t="shared" si="42"/>
        <v>0</v>
      </c>
      <c r="D648" s="2">
        <v>54045</v>
      </c>
      <c r="E648" s="2">
        <v>52523</v>
      </c>
      <c r="F648" s="2">
        <f t="shared" si="43"/>
        <v>106568</v>
      </c>
      <c r="G648" s="2">
        <f t="shared" si="44"/>
        <v>-106568</v>
      </c>
      <c r="H648"/>
      <c r="J648" s="68"/>
      <c r="K648" s="28"/>
      <c r="L648" s="28"/>
      <c r="M648" s="28"/>
      <c r="N648" s="28"/>
      <c r="O648" s="28"/>
      <c r="P648" s="29"/>
      <c r="Q648" s="54"/>
      <c r="R648" s="30"/>
    </row>
    <row r="649" spans="1:18" ht="15" hidden="1" customHeight="1" x14ac:dyDescent="0.3">
      <c r="A649" s="124">
        <v>45304</v>
      </c>
      <c r="B649" s="2">
        <v>3400500</v>
      </c>
      <c r="C649" s="2">
        <f t="shared" si="42"/>
        <v>3400500</v>
      </c>
      <c r="D649" s="2">
        <v>508500</v>
      </c>
      <c r="E649" s="2">
        <v>353100</v>
      </c>
      <c r="F649" s="2">
        <f t="shared" si="43"/>
        <v>861600</v>
      </c>
      <c r="G649" s="2">
        <f t="shared" si="44"/>
        <v>2538900</v>
      </c>
      <c r="H649"/>
      <c r="J649" s="68"/>
      <c r="K649" s="28"/>
      <c r="L649" s="28"/>
      <c r="M649" s="28"/>
      <c r="N649" s="28"/>
      <c r="O649" s="28"/>
      <c r="P649" s="29"/>
      <c r="Q649" s="54"/>
      <c r="R649" s="30"/>
    </row>
    <row r="650" spans="1:18" ht="15" hidden="1" customHeight="1" x14ac:dyDescent="0.3">
      <c r="A650" s="124">
        <v>45305</v>
      </c>
      <c r="B650" s="2"/>
      <c r="C650" s="2">
        <f t="shared" si="42"/>
        <v>0</v>
      </c>
      <c r="D650" s="2">
        <v>42200</v>
      </c>
      <c r="E650" s="2"/>
      <c r="F650" s="2">
        <f t="shared" si="43"/>
        <v>42200</v>
      </c>
      <c r="G650" s="2">
        <f t="shared" si="44"/>
        <v>-42200</v>
      </c>
      <c r="H650"/>
      <c r="J650" s="68"/>
      <c r="K650" s="28"/>
      <c r="L650" s="28"/>
      <c r="M650" s="28"/>
      <c r="N650" s="28"/>
      <c r="O650" s="28"/>
      <c r="P650" s="29"/>
      <c r="Q650" s="54"/>
      <c r="R650" s="30"/>
    </row>
    <row r="651" spans="1:18" ht="15" hidden="1" customHeight="1" x14ac:dyDescent="0.3">
      <c r="A651" s="124">
        <v>45306</v>
      </c>
      <c r="B651" s="2"/>
      <c r="C651" s="2">
        <f t="shared" si="42"/>
        <v>0</v>
      </c>
      <c r="D651" s="2"/>
      <c r="E651" s="2"/>
      <c r="F651" s="2">
        <f t="shared" si="43"/>
        <v>0</v>
      </c>
      <c r="G651" s="2">
        <f t="shared" si="44"/>
        <v>0</v>
      </c>
      <c r="H651"/>
      <c r="J651" s="68"/>
      <c r="K651" s="28"/>
      <c r="L651" s="28"/>
      <c r="M651" s="28"/>
      <c r="N651" s="28"/>
      <c r="O651" s="28"/>
      <c r="P651" s="29"/>
      <c r="Q651" s="54"/>
      <c r="R651" s="30"/>
    </row>
    <row r="652" spans="1:18" ht="15" hidden="1" customHeight="1" x14ac:dyDescent="0.3">
      <c r="A652" s="124">
        <v>45307</v>
      </c>
      <c r="B652" s="2"/>
      <c r="C652" s="2">
        <f t="shared" si="42"/>
        <v>0</v>
      </c>
      <c r="D652" s="2">
        <v>1100</v>
      </c>
      <c r="E652" s="2"/>
      <c r="F652" s="2">
        <f t="shared" si="43"/>
        <v>1100</v>
      </c>
      <c r="G652" s="2">
        <f t="shared" si="44"/>
        <v>-1100</v>
      </c>
      <c r="H652"/>
      <c r="J652" s="68"/>
      <c r="K652" s="28"/>
      <c r="L652" s="28"/>
      <c r="M652" s="28"/>
      <c r="N652" s="28"/>
      <c r="O652" s="28"/>
      <c r="P652" s="29"/>
      <c r="Q652" s="54"/>
      <c r="R652" s="30"/>
    </row>
    <row r="653" spans="1:18" ht="15" hidden="1" customHeight="1" x14ac:dyDescent="0.3">
      <c r="A653" s="124">
        <v>45308</v>
      </c>
      <c r="B653" s="2"/>
      <c r="C653" s="2">
        <f t="shared" si="42"/>
        <v>0</v>
      </c>
      <c r="D653" s="2">
        <v>20438</v>
      </c>
      <c r="E653" s="2">
        <v>19980</v>
      </c>
      <c r="F653" s="2">
        <f t="shared" si="43"/>
        <v>40418</v>
      </c>
      <c r="G653" s="2">
        <f t="shared" si="44"/>
        <v>-40418</v>
      </c>
      <c r="H653"/>
      <c r="J653" s="68"/>
      <c r="K653" s="28"/>
      <c r="L653" s="28"/>
      <c r="M653" s="28"/>
      <c r="N653" s="28"/>
      <c r="O653" s="28"/>
      <c r="P653" s="29"/>
      <c r="Q653" s="54"/>
      <c r="R653" s="30"/>
    </row>
    <row r="654" spans="1:18" ht="15" hidden="1" customHeight="1" x14ac:dyDescent="0.3">
      <c r="A654" s="124">
        <v>45309</v>
      </c>
      <c r="B654" s="2"/>
      <c r="C654" s="2">
        <f t="shared" si="42"/>
        <v>0</v>
      </c>
      <c r="D654" s="2">
        <v>35112</v>
      </c>
      <c r="E654" s="2">
        <v>42874</v>
      </c>
      <c r="F654" s="2">
        <f t="shared" si="43"/>
        <v>77986</v>
      </c>
      <c r="G654" s="2">
        <f t="shared" si="44"/>
        <v>-77986</v>
      </c>
      <c r="H654"/>
      <c r="J654" s="68"/>
      <c r="K654" s="28"/>
      <c r="L654" s="28"/>
      <c r="M654" s="28"/>
      <c r="N654" s="28"/>
      <c r="O654" s="28"/>
      <c r="P654" s="29"/>
      <c r="Q654" s="54"/>
      <c r="R654" s="30"/>
    </row>
    <row r="655" spans="1:18" ht="15" hidden="1" customHeight="1" x14ac:dyDescent="0.3">
      <c r="A655" s="124">
        <v>45310</v>
      </c>
      <c r="B655" s="2"/>
      <c r="C655" s="2">
        <f t="shared" si="42"/>
        <v>0</v>
      </c>
      <c r="D655" s="2">
        <v>11950</v>
      </c>
      <c r="E655" s="2">
        <v>47746</v>
      </c>
      <c r="F655" s="2">
        <f t="shared" si="43"/>
        <v>59696</v>
      </c>
      <c r="G655" s="2">
        <f t="shared" si="44"/>
        <v>-59696</v>
      </c>
      <c r="H655" t="s">
        <v>217</v>
      </c>
      <c r="J655" s="68"/>
      <c r="K655" s="28"/>
      <c r="L655" s="28"/>
      <c r="M655" s="28"/>
      <c r="N655" s="28"/>
      <c r="O655" s="28"/>
      <c r="P655" s="29"/>
      <c r="Q655" s="54"/>
      <c r="R655" s="30"/>
    </row>
    <row r="656" spans="1:18" ht="15" hidden="1" customHeight="1" x14ac:dyDescent="0.3">
      <c r="A656" s="124">
        <v>45311</v>
      </c>
      <c r="B656" s="2">
        <v>325500</v>
      </c>
      <c r="C656" s="2">
        <f t="shared" si="42"/>
        <v>325500</v>
      </c>
      <c r="D656" s="128">
        <v>999702</v>
      </c>
      <c r="E656" s="2">
        <v>4080</v>
      </c>
      <c r="F656" s="2">
        <f t="shared" si="43"/>
        <v>1003782</v>
      </c>
      <c r="G656" s="2">
        <f t="shared" si="44"/>
        <v>-678282</v>
      </c>
      <c r="H656" s="129" t="s">
        <v>213</v>
      </c>
      <c r="J656" s="68"/>
      <c r="K656" s="28"/>
      <c r="L656" s="28"/>
      <c r="M656" s="28"/>
      <c r="N656" s="28"/>
      <c r="O656" s="28"/>
      <c r="P656" s="29"/>
      <c r="Q656" s="54"/>
      <c r="R656" s="30"/>
    </row>
    <row r="657" spans="1:18" ht="15" hidden="1" customHeight="1" x14ac:dyDescent="0.3">
      <c r="A657" s="124">
        <v>45312</v>
      </c>
      <c r="B657" s="2">
        <v>107800</v>
      </c>
      <c r="C657" s="2">
        <f t="shared" si="42"/>
        <v>107800</v>
      </c>
      <c r="D657" s="2"/>
      <c r="E657" s="2"/>
      <c r="F657" s="2">
        <f t="shared" si="43"/>
        <v>0</v>
      </c>
      <c r="G657" s="2">
        <f t="shared" si="44"/>
        <v>107800</v>
      </c>
      <c r="H657"/>
      <c r="J657" s="68"/>
      <c r="K657" s="28"/>
      <c r="L657" s="28"/>
      <c r="M657" s="28"/>
      <c r="N657" s="28"/>
      <c r="O657" s="28"/>
      <c r="P657" s="29"/>
      <c r="Q657" s="54"/>
      <c r="R657" s="30"/>
    </row>
    <row r="658" spans="1:18" ht="15" hidden="1" customHeight="1" x14ac:dyDescent="0.3">
      <c r="A658" s="124">
        <v>45313</v>
      </c>
      <c r="B658" s="2">
        <v>48000</v>
      </c>
      <c r="C658" s="2">
        <f t="shared" si="42"/>
        <v>48000</v>
      </c>
      <c r="D658" s="2">
        <v>84134</v>
      </c>
      <c r="E658" s="2">
        <v>13560</v>
      </c>
      <c r="F658" s="2">
        <f t="shared" si="43"/>
        <v>97694</v>
      </c>
      <c r="G658" s="2">
        <f t="shared" si="44"/>
        <v>-49694</v>
      </c>
      <c r="H658"/>
      <c r="J658" s="68"/>
      <c r="K658" s="28"/>
      <c r="L658" s="28"/>
      <c r="M658" s="28"/>
      <c r="N658" s="28"/>
      <c r="O658" s="28"/>
      <c r="P658" s="29"/>
      <c r="Q658" s="54"/>
      <c r="R658" s="30"/>
    </row>
    <row r="659" spans="1:18" ht="15" hidden="1" customHeight="1" x14ac:dyDescent="0.3">
      <c r="A659" s="124">
        <v>45314</v>
      </c>
      <c r="B659" s="2">
        <v>100200</v>
      </c>
      <c r="C659" s="2">
        <f t="shared" si="42"/>
        <v>100200</v>
      </c>
      <c r="D659" s="2">
        <v>47692</v>
      </c>
      <c r="E659" s="2">
        <v>28210</v>
      </c>
      <c r="F659" s="2">
        <f t="shared" si="43"/>
        <v>75902</v>
      </c>
      <c r="G659" s="2">
        <f t="shared" si="44"/>
        <v>24298</v>
      </c>
      <c r="H659"/>
      <c r="J659" s="68"/>
      <c r="K659" s="28"/>
      <c r="L659" s="28"/>
      <c r="M659" s="28"/>
      <c r="N659" s="28"/>
      <c r="O659" s="28"/>
      <c r="P659" s="29"/>
      <c r="Q659" s="54"/>
      <c r="R659" s="30"/>
    </row>
    <row r="660" spans="1:18" ht="15" hidden="1" customHeight="1" x14ac:dyDescent="0.3">
      <c r="A660" s="124">
        <v>45315</v>
      </c>
      <c r="B660" s="2">
        <v>70000</v>
      </c>
      <c r="C660" s="2">
        <f t="shared" si="42"/>
        <v>70000</v>
      </c>
      <c r="D660" s="2">
        <v>31283</v>
      </c>
      <c r="E660" s="2">
        <v>8060</v>
      </c>
      <c r="F660" s="2">
        <f t="shared" si="43"/>
        <v>39343</v>
      </c>
      <c r="G660" s="2">
        <f t="shared" si="44"/>
        <v>30657</v>
      </c>
      <c r="H660"/>
      <c r="J660" s="68"/>
      <c r="K660" s="28"/>
      <c r="L660" s="28"/>
      <c r="M660" s="28"/>
      <c r="N660" s="28"/>
      <c r="O660" s="28"/>
      <c r="P660" s="29"/>
      <c r="Q660" s="54"/>
      <c r="R660" s="30"/>
    </row>
    <row r="661" spans="1:18" ht="15" hidden="1" customHeight="1" x14ac:dyDescent="0.3">
      <c r="A661" s="124">
        <v>45316</v>
      </c>
      <c r="B661" s="2"/>
      <c r="C661" s="2">
        <f t="shared" si="42"/>
        <v>0</v>
      </c>
      <c r="D661" s="2"/>
      <c r="E661" s="2"/>
      <c r="F661" s="2">
        <f t="shared" si="43"/>
        <v>0</v>
      </c>
      <c r="G661" s="2">
        <f t="shared" si="44"/>
        <v>0</v>
      </c>
      <c r="H661"/>
      <c r="J661" s="68"/>
      <c r="K661" s="28"/>
      <c r="L661" s="28"/>
      <c r="M661" s="28"/>
      <c r="N661" s="28"/>
      <c r="O661" s="28"/>
      <c r="P661" s="29"/>
      <c r="Q661" s="54"/>
      <c r="R661" s="30"/>
    </row>
    <row r="662" spans="1:18" ht="15" hidden="1" customHeight="1" x14ac:dyDescent="0.3">
      <c r="A662" s="124">
        <v>45317</v>
      </c>
      <c r="B662" s="2"/>
      <c r="C662" s="2">
        <f t="shared" si="42"/>
        <v>0</v>
      </c>
      <c r="D662" s="2"/>
      <c r="E662" s="2">
        <v>11815</v>
      </c>
      <c r="F662" s="2">
        <f t="shared" si="43"/>
        <v>11815</v>
      </c>
      <c r="G662" s="2">
        <f t="shared" si="44"/>
        <v>-11815</v>
      </c>
      <c r="H662"/>
      <c r="J662" s="68"/>
      <c r="K662" s="28"/>
      <c r="L662" s="28"/>
      <c r="M662" s="28"/>
      <c r="N662" s="28"/>
      <c r="O662" s="28"/>
      <c r="P662" s="29"/>
      <c r="Q662" s="54"/>
      <c r="R662" s="30"/>
    </row>
    <row r="663" spans="1:18" ht="15" hidden="1" customHeight="1" x14ac:dyDescent="0.3">
      <c r="A663" s="124">
        <v>45318</v>
      </c>
      <c r="B663" s="2">
        <v>48600</v>
      </c>
      <c r="C663" s="2">
        <f t="shared" si="42"/>
        <v>48600</v>
      </c>
      <c r="D663" s="2"/>
      <c r="E663" s="2">
        <v>7930</v>
      </c>
      <c r="F663" s="2">
        <f t="shared" si="43"/>
        <v>7930</v>
      </c>
      <c r="G663" s="2">
        <f t="shared" si="44"/>
        <v>40670</v>
      </c>
      <c r="H663"/>
      <c r="J663" s="68"/>
      <c r="K663" s="28"/>
      <c r="L663" s="28"/>
      <c r="M663" s="28"/>
      <c r="N663" s="28"/>
      <c r="O663" s="28"/>
      <c r="P663" s="29"/>
      <c r="Q663" s="54"/>
      <c r="R663" s="30"/>
    </row>
    <row r="664" spans="1:18" ht="15" hidden="1" customHeight="1" x14ac:dyDescent="0.3">
      <c r="A664" s="124">
        <v>45319</v>
      </c>
      <c r="B664" s="130"/>
      <c r="C664" s="130">
        <f t="shared" si="42"/>
        <v>0</v>
      </c>
      <c r="D664" s="130"/>
      <c r="E664" s="130"/>
      <c r="F664" s="130">
        <f t="shared" si="43"/>
        <v>0</v>
      </c>
      <c r="G664" s="130">
        <f t="shared" si="44"/>
        <v>0</v>
      </c>
      <c r="H664" s="247" t="s">
        <v>225</v>
      </c>
      <c r="J664" s="68"/>
      <c r="K664" s="28"/>
      <c r="L664" s="28"/>
      <c r="M664" s="28"/>
      <c r="N664" s="28"/>
      <c r="O664" s="28"/>
      <c r="P664" s="29"/>
      <c r="Q664" s="54"/>
      <c r="R664" s="30"/>
    </row>
    <row r="665" spans="1:18" ht="15" hidden="1" customHeight="1" x14ac:dyDescent="0.3">
      <c r="A665" s="124">
        <v>45320</v>
      </c>
      <c r="B665" s="130"/>
      <c r="C665" s="130">
        <f t="shared" si="42"/>
        <v>0</v>
      </c>
      <c r="D665" s="130"/>
      <c r="E665" s="130"/>
      <c r="F665" s="130">
        <f t="shared" si="43"/>
        <v>0</v>
      </c>
      <c r="G665" s="130">
        <f t="shared" si="44"/>
        <v>0</v>
      </c>
      <c r="H665" s="247"/>
      <c r="J665" s="68"/>
      <c r="K665" s="28"/>
      <c r="L665" s="28"/>
      <c r="M665" s="28"/>
      <c r="N665" s="28"/>
      <c r="O665" s="28"/>
      <c r="P665" s="29"/>
      <c r="Q665" s="54"/>
      <c r="R665" s="30"/>
    </row>
    <row r="666" spans="1:18" ht="15" hidden="1" customHeight="1" x14ac:dyDescent="0.3">
      <c r="A666" s="124">
        <v>45321</v>
      </c>
      <c r="B666" s="130"/>
      <c r="C666" s="130">
        <f t="shared" si="42"/>
        <v>0</v>
      </c>
      <c r="D666" s="130"/>
      <c r="E666" s="130"/>
      <c r="F666" s="130">
        <f t="shared" si="43"/>
        <v>0</v>
      </c>
      <c r="G666" s="130">
        <f t="shared" si="44"/>
        <v>0</v>
      </c>
      <c r="H666" s="247"/>
      <c r="J666" s="68"/>
      <c r="K666" s="28"/>
      <c r="L666" s="28"/>
      <c r="M666" s="28"/>
      <c r="N666" s="28"/>
      <c r="O666" s="28"/>
      <c r="P666" s="29"/>
      <c r="Q666" s="54"/>
      <c r="R666" s="30"/>
    </row>
    <row r="667" spans="1:18" ht="15" hidden="1" customHeight="1" x14ac:dyDescent="0.3">
      <c r="A667" s="124">
        <v>45322</v>
      </c>
      <c r="B667" s="130"/>
      <c r="C667" s="130">
        <f t="shared" si="42"/>
        <v>0</v>
      </c>
      <c r="D667" s="130"/>
      <c r="E667" s="130"/>
      <c r="F667" s="130">
        <f t="shared" si="43"/>
        <v>0</v>
      </c>
      <c r="G667" s="130">
        <f>C667-F667</f>
        <v>0</v>
      </c>
      <c r="H667" s="247"/>
      <c r="J667" s="68"/>
      <c r="K667" s="28"/>
      <c r="L667" s="28"/>
      <c r="M667" s="28"/>
      <c r="N667" s="28"/>
      <c r="O667" s="28"/>
      <c r="P667" s="29"/>
      <c r="Q667" s="54"/>
      <c r="R667" s="30"/>
    </row>
    <row r="668" spans="1:18" ht="15" hidden="1" customHeight="1" x14ac:dyDescent="0.3">
      <c r="A668" s="124" t="s">
        <v>43</v>
      </c>
      <c r="B668" s="2">
        <f t="shared" ref="B668:G668" si="45">SUM(B637:B667)</f>
        <v>4724600</v>
      </c>
      <c r="C668" s="2">
        <f t="shared" si="45"/>
        <v>4724600</v>
      </c>
      <c r="D668" s="2">
        <f t="shared" si="45"/>
        <v>2730201</v>
      </c>
      <c r="E668" s="2">
        <f t="shared" si="45"/>
        <v>1318116.5384615385</v>
      </c>
      <c r="F668" s="2">
        <f t="shared" si="45"/>
        <v>4048317.5384615385</v>
      </c>
      <c r="G668" s="2">
        <f t="shared" si="45"/>
        <v>676282.4615384615</v>
      </c>
      <c r="H668"/>
      <c r="J668" s="68"/>
      <c r="K668" s="28"/>
      <c r="L668" s="28"/>
      <c r="M668" s="28"/>
      <c r="N668" s="28"/>
      <c r="O668" s="28"/>
      <c r="P668" s="29"/>
      <c r="Q668" s="54"/>
      <c r="R668" s="30"/>
    </row>
    <row r="669" spans="1:18" ht="15" hidden="1" customHeight="1" x14ac:dyDescent="0.3">
      <c r="A669" s="124"/>
      <c r="B669" s="2"/>
      <c r="C669" s="2"/>
      <c r="D669" s="2"/>
      <c r="E669" s="2"/>
      <c r="F669" s="2"/>
      <c r="G669" s="2"/>
      <c r="H669"/>
      <c r="J669" s="68"/>
      <c r="K669" s="28"/>
      <c r="L669" s="28"/>
      <c r="M669" s="28"/>
      <c r="N669" s="28"/>
      <c r="O669" s="28"/>
      <c r="P669" s="29"/>
      <c r="Q669" s="54"/>
      <c r="R669" s="30"/>
    </row>
    <row r="670" spans="1:18" ht="15" hidden="1" customHeight="1" x14ac:dyDescent="0.3">
      <c r="A670" s="124"/>
      <c r="B670" s="2"/>
      <c r="C670" s="2"/>
      <c r="D670" s="2"/>
      <c r="E670" s="2"/>
      <c r="F670" s="2"/>
      <c r="G670" s="2"/>
      <c r="H670"/>
      <c r="J670" s="68"/>
      <c r="K670" s="28"/>
      <c r="L670" s="28"/>
      <c r="M670" s="28"/>
      <c r="N670" s="28"/>
      <c r="O670" s="28"/>
      <c r="P670" s="29"/>
      <c r="Q670" s="54"/>
      <c r="R670" s="30"/>
    </row>
    <row r="671" spans="1:18" ht="15" hidden="1" customHeight="1" x14ac:dyDescent="0.3">
      <c r="A671" s="124"/>
      <c r="B671" s="2"/>
      <c r="C671" s="2"/>
      <c r="D671" s="2"/>
      <c r="E671" s="2"/>
      <c r="F671" s="2"/>
      <c r="G671" s="2"/>
      <c r="H671"/>
      <c r="J671" s="68"/>
      <c r="K671" s="28"/>
      <c r="L671" s="28"/>
      <c r="M671" s="28"/>
      <c r="N671" s="28"/>
      <c r="O671" s="28"/>
      <c r="P671" s="29"/>
      <c r="Q671" s="54"/>
      <c r="R671" s="30"/>
    </row>
    <row r="672" spans="1:18" ht="15" hidden="1" customHeight="1" x14ac:dyDescent="0.3">
      <c r="A672" s="124"/>
      <c r="B672" s="2"/>
      <c r="C672" s="2"/>
      <c r="D672" s="2"/>
      <c r="E672" s="2"/>
      <c r="F672" s="2"/>
      <c r="G672" s="2"/>
      <c r="H672"/>
      <c r="J672" s="68"/>
      <c r="K672" s="28"/>
      <c r="L672" s="28"/>
      <c r="M672" s="28"/>
      <c r="N672" s="28"/>
      <c r="O672" s="28"/>
      <c r="P672" s="29"/>
      <c r="Q672" s="54"/>
      <c r="R672" s="30"/>
    </row>
    <row r="673" spans="1:18" ht="15" hidden="1" customHeight="1" x14ac:dyDescent="0.3">
      <c r="A673" s="114">
        <v>45261</v>
      </c>
      <c r="B673" s="28">
        <f>161800*1.19</f>
        <v>192542</v>
      </c>
      <c r="C673" s="28">
        <f>B673</f>
        <v>192542</v>
      </c>
      <c r="D673" s="28">
        <f>300000+4740</f>
        <v>304740</v>
      </c>
      <c r="E673" s="28">
        <f>6500+7870+4560+8290+18050+6227+27770</f>
        <v>79267</v>
      </c>
      <c r="F673" s="28">
        <f>E673+D673</f>
        <v>384007</v>
      </c>
      <c r="G673" s="35">
        <f>C673-F673</f>
        <v>-191465</v>
      </c>
      <c r="H673" s="23" t="s">
        <v>212</v>
      </c>
      <c r="J673" s="68"/>
      <c r="K673" s="28"/>
      <c r="L673" s="28"/>
      <c r="M673" s="28"/>
      <c r="N673" s="28"/>
      <c r="O673" s="28"/>
      <c r="P673" s="29"/>
      <c r="Q673" s="54"/>
      <c r="R673" s="30"/>
    </row>
    <row r="674" spans="1:18" ht="15" hidden="1" customHeight="1" x14ac:dyDescent="0.3">
      <c r="A674" s="114">
        <v>45262</v>
      </c>
      <c r="B674" s="28">
        <v>84000</v>
      </c>
      <c r="C674" s="28">
        <f t="shared" ref="C674:C703" si="46">B674</f>
        <v>84000</v>
      </c>
      <c r="E674" s="28">
        <v>24491</v>
      </c>
      <c r="F674" s="28">
        <f t="shared" ref="F674:F703" si="47">E674+D674</f>
        <v>24491</v>
      </c>
      <c r="G674" s="35">
        <f t="shared" ref="G674:G704" si="48">C674-F674</f>
        <v>59509</v>
      </c>
      <c r="H674" s="90"/>
      <c r="J674" s="68"/>
      <c r="K674" s="28"/>
      <c r="L674" s="28"/>
      <c r="M674" s="28"/>
      <c r="N674" s="28"/>
      <c r="O674" s="28"/>
      <c r="P674" s="29"/>
      <c r="Q674" s="54"/>
      <c r="R674" s="30"/>
    </row>
    <row r="675" spans="1:18" ht="15" hidden="1" customHeight="1" x14ac:dyDescent="0.3">
      <c r="A675" s="114">
        <v>45263</v>
      </c>
      <c r="B675" s="28">
        <f>422000+5000</f>
        <v>427000</v>
      </c>
      <c r="C675" s="28">
        <f t="shared" si="46"/>
        <v>427000</v>
      </c>
      <c r="D675" s="28">
        <f>60000+25000+10000+10000+2100+2000</f>
        <v>109100</v>
      </c>
      <c r="E675" s="28">
        <f>46980+3500+5000+10800+35001</f>
        <v>101281</v>
      </c>
      <c r="F675" s="28">
        <f t="shared" si="47"/>
        <v>210381</v>
      </c>
      <c r="G675" s="35">
        <f t="shared" si="48"/>
        <v>216619</v>
      </c>
      <c r="H675" s="23" t="s">
        <v>214</v>
      </c>
      <c r="J675" s="68"/>
      <c r="K675" s="28"/>
      <c r="L675" s="28"/>
      <c r="M675" s="28"/>
      <c r="N675" s="28"/>
      <c r="O675" s="28"/>
      <c r="P675" s="29"/>
      <c r="Q675" s="54"/>
      <c r="R675" s="30"/>
    </row>
    <row r="676" spans="1:18" ht="15" hidden="1" customHeight="1" x14ac:dyDescent="0.3">
      <c r="A676" s="114">
        <v>45264</v>
      </c>
      <c r="C676" s="28">
        <f t="shared" si="46"/>
        <v>0</v>
      </c>
      <c r="D676" s="28">
        <f>10500+10500+65856+7240</f>
        <v>94096</v>
      </c>
      <c r="E676" s="28">
        <v>78687</v>
      </c>
      <c r="F676" s="28">
        <f t="shared" si="47"/>
        <v>172783</v>
      </c>
      <c r="G676" s="35">
        <f t="shared" si="48"/>
        <v>-172783</v>
      </c>
      <c r="H676" s="23" t="s">
        <v>216</v>
      </c>
      <c r="J676" s="68"/>
      <c r="K676" s="28"/>
      <c r="L676" s="28"/>
      <c r="M676" s="28"/>
      <c r="N676" s="28"/>
      <c r="O676" s="28"/>
      <c r="P676" s="29"/>
      <c r="Q676" s="54"/>
      <c r="R676" s="30"/>
    </row>
    <row r="677" spans="1:18" ht="15" hidden="1" customHeight="1" x14ac:dyDescent="0.3">
      <c r="A677" s="114">
        <v>45265</v>
      </c>
      <c r="B677" s="28">
        <v>118100</v>
      </c>
      <c r="C677" s="28">
        <f t="shared" si="46"/>
        <v>118100</v>
      </c>
      <c r="E677" s="28">
        <f>52550+1330+2794+3224+59463</f>
        <v>119361</v>
      </c>
      <c r="F677" s="28">
        <f t="shared" si="47"/>
        <v>119361</v>
      </c>
      <c r="G677" s="35">
        <f t="shared" si="48"/>
        <v>-1261</v>
      </c>
      <c r="H677" s="23"/>
      <c r="J677" s="68"/>
      <c r="K677" s="28"/>
      <c r="L677" s="28"/>
      <c r="M677" s="28"/>
      <c r="N677" s="28"/>
      <c r="O677" s="28"/>
      <c r="P677" s="29"/>
      <c r="Q677" s="54"/>
      <c r="R677" s="30"/>
    </row>
    <row r="678" spans="1:18" ht="15" hidden="1" customHeight="1" x14ac:dyDescent="0.3">
      <c r="A678" s="114">
        <v>45266</v>
      </c>
      <c r="B678" s="28">
        <f>1612500*1.19</f>
        <v>1918875</v>
      </c>
      <c r="C678" s="28">
        <f t="shared" si="46"/>
        <v>1918875</v>
      </c>
      <c r="D678" s="28">
        <f>40000+14970+220000+120000+90000+40000+100000+50000+59000</f>
        <v>733970</v>
      </c>
      <c r="F678" s="28">
        <f t="shared" si="47"/>
        <v>733970</v>
      </c>
      <c r="G678" s="35">
        <f t="shared" si="48"/>
        <v>1184905</v>
      </c>
      <c r="H678" s="23"/>
      <c r="J678" s="68"/>
      <c r="K678" s="28"/>
      <c r="L678" s="28"/>
      <c r="M678" s="28"/>
      <c r="N678" s="28"/>
      <c r="O678" s="28"/>
      <c r="P678" s="29"/>
      <c r="Q678" s="54"/>
      <c r="R678" s="30"/>
    </row>
    <row r="679" spans="1:18" ht="15" hidden="1" customHeight="1" x14ac:dyDescent="0.3">
      <c r="A679" s="114">
        <v>45267</v>
      </c>
      <c r="B679" s="28">
        <f>161889*1.19</f>
        <v>192647.91</v>
      </c>
      <c r="C679" s="28">
        <f t="shared" si="46"/>
        <v>192647.91</v>
      </c>
      <c r="F679" s="28">
        <f t="shared" si="47"/>
        <v>0</v>
      </c>
      <c r="G679" s="35">
        <f t="shared" si="48"/>
        <v>192647.91</v>
      </c>
      <c r="H679" s="23"/>
      <c r="J679" s="68"/>
      <c r="K679" s="28"/>
      <c r="L679" s="28"/>
      <c r="M679" s="28"/>
      <c r="N679" s="28"/>
      <c r="O679" s="28"/>
      <c r="P679" s="29"/>
      <c r="Q679" s="54"/>
      <c r="R679" s="30"/>
    </row>
    <row r="680" spans="1:18" ht="15" hidden="1" customHeight="1" x14ac:dyDescent="0.3">
      <c r="A680" s="114">
        <v>45268</v>
      </c>
      <c r="C680" s="28">
        <f t="shared" si="46"/>
        <v>0</v>
      </c>
      <c r="F680" s="28">
        <f t="shared" si="47"/>
        <v>0</v>
      </c>
      <c r="G680" s="35">
        <f t="shared" si="48"/>
        <v>0</v>
      </c>
      <c r="H680" s="23"/>
      <c r="J680" s="68"/>
      <c r="K680" s="28"/>
      <c r="L680" s="28"/>
      <c r="M680" s="28"/>
      <c r="N680" s="28"/>
      <c r="O680" s="28"/>
      <c r="P680" s="29"/>
      <c r="Q680" s="54"/>
      <c r="R680" s="30"/>
    </row>
    <row r="681" spans="1:18" ht="15" hidden="1" customHeight="1" x14ac:dyDescent="0.3">
      <c r="A681" s="114">
        <v>45269</v>
      </c>
      <c r="C681" s="28">
        <f t="shared" si="46"/>
        <v>0</v>
      </c>
      <c r="E681" s="28">
        <v>7290</v>
      </c>
      <c r="F681" s="28">
        <f t="shared" si="47"/>
        <v>7290</v>
      </c>
      <c r="G681" s="35">
        <f t="shared" si="48"/>
        <v>-7290</v>
      </c>
      <c r="H681" s="23"/>
      <c r="J681" s="68"/>
      <c r="K681" s="28"/>
      <c r="L681" s="28"/>
      <c r="M681" s="28"/>
      <c r="N681" s="28"/>
      <c r="O681" s="28"/>
      <c r="P681" s="29"/>
      <c r="Q681" s="54"/>
      <c r="R681" s="30"/>
    </row>
    <row r="682" spans="1:18" ht="15" hidden="1" customHeight="1" x14ac:dyDescent="0.3">
      <c r="A682" s="114">
        <v>45270</v>
      </c>
      <c r="C682" s="28">
        <f t="shared" si="46"/>
        <v>0</v>
      </c>
      <c r="F682" s="28">
        <f t="shared" si="47"/>
        <v>0</v>
      </c>
      <c r="G682" s="35">
        <f t="shared" si="48"/>
        <v>0</v>
      </c>
      <c r="H682" s="23"/>
      <c r="J682" s="68"/>
      <c r="K682" s="28"/>
      <c r="L682" s="28"/>
      <c r="M682" s="28"/>
      <c r="N682" s="28"/>
      <c r="O682" s="28"/>
      <c r="P682" s="29"/>
      <c r="Q682" s="54"/>
      <c r="R682" s="30"/>
    </row>
    <row r="683" spans="1:18" ht="15" hidden="1" customHeight="1" x14ac:dyDescent="0.3">
      <c r="A683" s="114">
        <v>45271</v>
      </c>
      <c r="C683" s="28">
        <f t="shared" si="46"/>
        <v>0</v>
      </c>
      <c r="E683" s="28">
        <f>19990+77592+52783+40000</f>
        <v>190365</v>
      </c>
      <c r="F683" s="28">
        <f t="shared" si="47"/>
        <v>190365</v>
      </c>
      <c r="G683" s="35">
        <f t="shared" si="48"/>
        <v>-190365</v>
      </c>
      <c r="H683" s="23"/>
      <c r="J683" s="68"/>
      <c r="K683" s="28"/>
      <c r="L683" s="28"/>
      <c r="M683" s="28"/>
      <c r="N683" s="28"/>
      <c r="O683" s="28"/>
      <c r="P683" s="29"/>
      <c r="Q683" s="54"/>
      <c r="R683" s="30"/>
    </row>
    <row r="684" spans="1:18" ht="15" hidden="1" customHeight="1" x14ac:dyDescent="0.3">
      <c r="A684" s="114">
        <v>45272</v>
      </c>
      <c r="B684" s="28">
        <v>50000</v>
      </c>
      <c r="C684" s="28">
        <f t="shared" si="46"/>
        <v>50000</v>
      </c>
      <c r="E684" s="28">
        <f>14880+15630+6650+16510+10650+15182+52042+4300+25749</f>
        <v>161593</v>
      </c>
      <c r="F684" s="28">
        <f t="shared" si="47"/>
        <v>161593</v>
      </c>
      <c r="G684" s="35">
        <f t="shared" si="48"/>
        <v>-111593</v>
      </c>
      <c r="H684" s="23"/>
      <c r="J684" s="68"/>
      <c r="K684" s="28"/>
      <c r="L684" s="28"/>
      <c r="M684" s="28"/>
      <c r="N684" s="28"/>
      <c r="O684" s="28"/>
      <c r="P684" s="29"/>
      <c r="Q684" s="54"/>
      <c r="R684" s="30"/>
    </row>
    <row r="685" spans="1:18" ht="15" hidden="1" customHeight="1" x14ac:dyDescent="0.3">
      <c r="A685" s="114">
        <v>45273</v>
      </c>
      <c r="B685" s="28">
        <f>781400*1.19+54650</f>
        <v>984516</v>
      </c>
      <c r="C685" s="28">
        <f t="shared" si="46"/>
        <v>984516</v>
      </c>
      <c r="D685" s="28">
        <f>25000+25000+20000+50000+40000+86418+6000</f>
        <v>252418</v>
      </c>
      <c r="E685" s="28">
        <v>8490</v>
      </c>
      <c r="F685" s="28">
        <f t="shared" si="47"/>
        <v>260908</v>
      </c>
      <c r="G685" s="35">
        <f t="shared" si="48"/>
        <v>723608</v>
      </c>
      <c r="H685" s="23"/>
      <c r="J685" s="68"/>
      <c r="K685" s="28"/>
      <c r="L685" s="28"/>
      <c r="M685" s="28"/>
      <c r="N685" s="28"/>
      <c r="O685" s="28"/>
      <c r="P685" s="29"/>
      <c r="Q685" s="54"/>
      <c r="R685" s="30"/>
    </row>
    <row r="686" spans="1:18" ht="15" hidden="1" customHeight="1" x14ac:dyDescent="0.3">
      <c r="A686" s="114">
        <v>45274</v>
      </c>
      <c r="B686" s="28">
        <f>113500+128200+17000</f>
        <v>258700</v>
      </c>
      <c r="C686" s="28">
        <f t="shared" si="46"/>
        <v>258700</v>
      </c>
      <c r="E686" s="28">
        <f>11220+4860+2010+62010</f>
        <v>80100</v>
      </c>
      <c r="F686" s="28">
        <f t="shared" si="47"/>
        <v>80100</v>
      </c>
      <c r="G686" s="35">
        <f t="shared" si="48"/>
        <v>178600</v>
      </c>
      <c r="H686" s="23"/>
      <c r="J686" s="68"/>
      <c r="K686" s="28"/>
      <c r="L686" s="28"/>
      <c r="M686" s="28"/>
      <c r="N686" s="28"/>
      <c r="O686" s="28"/>
      <c r="P686" s="29"/>
      <c r="Q686" s="54"/>
      <c r="R686" s="30"/>
    </row>
    <row r="687" spans="1:18" ht="15" hidden="1" customHeight="1" x14ac:dyDescent="0.3">
      <c r="A687" s="114">
        <v>45275</v>
      </c>
      <c r="B687" s="28">
        <f>1200*24+(161800*1.19)</f>
        <v>221342</v>
      </c>
      <c r="C687" s="28">
        <f t="shared" si="46"/>
        <v>221342</v>
      </c>
      <c r="D687" s="28">
        <f>19629+1430</f>
        <v>21059</v>
      </c>
      <c r="E687" s="28">
        <f>6690+13953+20700+2010+79494+380+11045</f>
        <v>134272</v>
      </c>
      <c r="F687" s="28">
        <f t="shared" si="47"/>
        <v>155331</v>
      </c>
      <c r="G687" s="35">
        <f t="shared" si="48"/>
        <v>66011</v>
      </c>
      <c r="H687" s="23" t="s">
        <v>217</v>
      </c>
      <c r="J687" s="68"/>
      <c r="K687" s="28"/>
      <c r="L687" s="28"/>
      <c r="M687" s="28"/>
      <c r="N687" s="28"/>
      <c r="O687" s="28"/>
      <c r="P687" s="29"/>
      <c r="Q687" s="54"/>
      <c r="R687" s="30"/>
    </row>
    <row r="688" spans="1:18" ht="15" hidden="1" customHeight="1" x14ac:dyDescent="0.3">
      <c r="A688" s="114">
        <v>45276</v>
      </c>
      <c r="B688" s="28">
        <v>46400</v>
      </c>
      <c r="C688" s="28">
        <f t="shared" si="46"/>
        <v>46400</v>
      </c>
      <c r="D688" s="28">
        <v>15000</v>
      </c>
      <c r="E688" s="28">
        <f>19990+71800+(10924*1.19)+4500+4920+7940+3450+4920+28190+25000</f>
        <v>183709.56</v>
      </c>
      <c r="F688" s="28">
        <f t="shared" si="47"/>
        <v>198709.56</v>
      </c>
      <c r="G688" s="35">
        <f t="shared" si="48"/>
        <v>-152309.56</v>
      </c>
      <c r="H688" s="56"/>
      <c r="J688" s="68"/>
      <c r="K688" s="28"/>
      <c r="L688" s="28"/>
      <c r="M688" s="28"/>
      <c r="N688" s="28"/>
      <c r="O688" s="28"/>
      <c r="P688" s="29"/>
      <c r="Q688" s="54"/>
      <c r="R688" s="30"/>
    </row>
    <row r="689" spans="1:18" ht="15" hidden="1" customHeight="1" x14ac:dyDescent="0.3">
      <c r="A689" s="114">
        <v>45277</v>
      </c>
      <c r="B689" s="28">
        <v>339600</v>
      </c>
      <c r="C689" s="28">
        <f t="shared" si="46"/>
        <v>339600</v>
      </c>
      <c r="D689" s="28">
        <f>15000+20700</f>
        <v>35700</v>
      </c>
      <c r="F689" s="28">
        <f t="shared" si="47"/>
        <v>35700</v>
      </c>
      <c r="G689" s="35">
        <f t="shared" si="48"/>
        <v>303900</v>
      </c>
      <c r="H689" s="23" t="s">
        <v>218</v>
      </c>
      <c r="J689" s="68"/>
      <c r="K689" s="28"/>
      <c r="L689" s="28"/>
      <c r="M689" s="28"/>
      <c r="N689" s="28"/>
      <c r="O689" s="28"/>
      <c r="P689" s="29"/>
      <c r="Q689" s="54"/>
      <c r="R689" s="30"/>
    </row>
    <row r="690" spans="1:18" ht="15" hidden="1" customHeight="1" x14ac:dyDescent="0.3">
      <c r="A690" s="114">
        <v>45278</v>
      </c>
      <c r="B690" s="28">
        <v>33000</v>
      </c>
      <c r="C690" s="28">
        <f t="shared" si="46"/>
        <v>33000</v>
      </c>
      <c r="D690" s="28">
        <v>334000</v>
      </c>
      <c r="E690" s="28">
        <f>11000+65485+6000</f>
        <v>82485</v>
      </c>
      <c r="F690" s="28">
        <f t="shared" si="47"/>
        <v>416485</v>
      </c>
      <c r="G690" s="35">
        <f t="shared" si="48"/>
        <v>-383485</v>
      </c>
      <c r="H690" s="127" t="s">
        <v>213</v>
      </c>
      <c r="J690" s="68"/>
      <c r="K690" s="28"/>
      <c r="L690" s="28"/>
      <c r="M690" s="28"/>
      <c r="N690" s="28"/>
      <c r="O690" s="28"/>
      <c r="P690" s="29"/>
      <c r="Q690" s="54"/>
      <c r="R690" s="30"/>
    </row>
    <row r="691" spans="1:18" ht="15" hidden="1" customHeight="1" x14ac:dyDescent="0.3">
      <c r="A691" s="114">
        <v>45279</v>
      </c>
      <c r="C691" s="28">
        <f t="shared" si="46"/>
        <v>0</v>
      </c>
      <c r="D691" s="28">
        <v>26282</v>
      </c>
      <c r="E691" s="28">
        <f>93983+19870</f>
        <v>113853</v>
      </c>
      <c r="F691" s="28">
        <f t="shared" si="47"/>
        <v>140135</v>
      </c>
      <c r="G691" s="35">
        <f t="shared" si="48"/>
        <v>-140135</v>
      </c>
      <c r="H691" s="23"/>
      <c r="J691" s="68"/>
      <c r="K691" s="28"/>
      <c r="L691" s="28"/>
      <c r="M691" s="28"/>
      <c r="N691" s="28"/>
      <c r="O691" s="28"/>
      <c r="P691" s="29"/>
      <c r="Q691" s="54"/>
      <c r="R691" s="30"/>
    </row>
    <row r="692" spans="1:18" ht="15" hidden="1" customHeight="1" x14ac:dyDescent="0.3">
      <c r="A692" s="114">
        <v>45280</v>
      </c>
      <c r="B692" s="28">
        <f>781400*1.19+27000+29200</f>
        <v>986066</v>
      </c>
      <c r="C692" s="28">
        <f t="shared" si="46"/>
        <v>986066</v>
      </c>
      <c r="D692" s="28">
        <f>67000</f>
        <v>67000</v>
      </c>
      <c r="E692" s="28">
        <f>28000+3000+65930+8850</f>
        <v>105780</v>
      </c>
      <c r="F692" s="28">
        <f t="shared" si="47"/>
        <v>172780</v>
      </c>
      <c r="G692" s="35">
        <f t="shared" si="48"/>
        <v>813286</v>
      </c>
      <c r="H692" s="23"/>
      <c r="J692" s="68"/>
      <c r="K692" s="28"/>
      <c r="L692" s="28"/>
      <c r="M692" s="28"/>
      <c r="N692" s="28"/>
      <c r="O692" s="28"/>
      <c r="P692" s="29"/>
      <c r="Q692" s="54"/>
      <c r="R692" s="30"/>
    </row>
    <row r="693" spans="1:18" ht="15" hidden="1" customHeight="1" x14ac:dyDescent="0.3">
      <c r="A693" s="114">
        <v>45281</v>
      </c>
      <c r="B693" s="28">
        <v>1000000</v>
      </c>
      <c r="C693" s="28">
        <f t="shared" si="46"/>
        <v>1000000</v>
      </c>
      <c r="D693" s="28">
        <f>30000+25000+20000+20830+5900</f>
        <v>101730</v>
      </c>
      <c r="E693" s="28">
        <f>7170+6350+25500+26440+15000</f>
        <v>80460</v>
      </c>
      <c r="F693" s="28">
        <f t="shared" si="47"/>
        <v>182190</v>
      </c>
      <c r="G693" s="35">
        <f t="shared" si="48"/>
        <v>817810</v>
      </c>
      <c r="H693" s="23"/>
      <c r="J693" s="68"/>
      <c r="K693" s="28"/>
      <c r="L693" s="28"/>
      <c r="M693" s="28"/>
      <c r="N693" s="28"/>
      <c r="O693" s="28"/>
      <c r="P693" s="29"/>
      <c r="Q693" s="54"/>
      <c r="R693" s="30"/>
    </row>
    <row r="694" spans="1:18" ht="15" hidden="1" customHeight="1" x14ac:dyDescent="0.3">
      <c r="A694" s="114">
        <v>45282</v>
      </c>
      <c r="B694" s="28">
        <f>155400+66000</f>
        <v>221400</v>
      </c>
      <c r="C694" s="28">
        <f t="shared" si="46"/>
        <v>221400</v>
      </c>
      <c r="D694" s="28">
        <v>20000</v>
      </c>
      <c r="E694" s="28">
        <f>8510+5470+2475+3510+5650+3100</f>
        <v>28715</v>
      </c>
      <c r="F694" s="28">
        <f t="shared" si="47"/>
        <v>48715</v>
      </c>
      <c r="G694" s="35">
        <f t="shared" si="48"/>
        <v>172685</v>
      </c>
      <c r="H694" s="23"/>
      <c r="J694" s="68"/>
      <c r="K694" s="28"/>
      <c r="L694" s="28"/>
      <c r="M694" s="28"/>
      <c r="N694" s="28"/>
      <c r="O694" s="28"/>
      <c r="P694" s="29"/>
      <c r="Q694" s="54"/>
      <c r="R694" s="30"/>
    </row>
    <row r="695" spans="1:18" ht="15" hidden="1" customHeight="1" x14ac:dyDescent="0.3">
      <c r="A695" s="114">
        <v>45283</v>
      </c>
      <c r="C695" s="28">
        <f t="shared" si="46"/>
        <v>0</v>
      </c>
      <c r="D695" s="28">
        <f>75000+63000+50000</f>
        <v>188000</v>
      </c>
      <c r="E695" s="28">
        <f>11900+5520+7220+61330+5650+9285+4500</f>
        <v>105405</v>
      </c>
      <c r="F695" s="28">
        <f t="shared" si="47"/>
        <v>293405</v>
      </c>
      <c r="G695" s="35">
        <f t="shared" si="48"/>
        <v>-293405</v>
      </c>
      <c r="H695" s="93"/>
      <c r="J695" s="68"/>
      <c r="K695" s="28"/>
      <c r="L695" s="28"/>
      <c r="M695" s="28"/>
      <c r="N695" s="28"/>
      <c r="O695" s="28"/>
      <c r="P695" s="29"/>
      <c r="Q695" s="54"/>
      <c r="R695" s="30"/>
    </row>
    <row r="696" spans="1:18" ht="15" hidden="1" customHeight="1" x14ac:dyDescent="0.3">
      <c r="A696" s="114">
        <v>45284</v>
      </c>
      <c r="B696" s="28">
        <f>301000+45600</f>
        <v>346600</v>
      </c>
      <c r="C696" s="28">
        <f t="shared" si="46"/>
        <v>346600</v>
      </c>
      <c r="E696" s="28">
        <f>80000+50000+20424+26097</f>
        <v>176521</v>
      </c>
      <c r="F696" s="28">
        <f t="shared" si="47"/>
        <v>176521</v>
      </c>
      <c r="G696" s="35">
        <f t="shared" si="48"/>
        <v>170079</v>
      </c>
      <c r="H696" s="93"/>
      <c r="J696" s="68"/>
      <c r="K696" s="28"/>
      <c r="L696" s="28"/>
      <c r="M696" s="28"/>
      <c r="N696" s="28"/>
      <c r="O696" s="28"/>
      <c r="P696" s="29"/>
      <c r="Q696" s="54"/>
      <c r="R696" s="30"/>
    </row>
    <row r="697" spans="1:18" ht="15" hidden="1" customHeight="1" x14ac:dyDescent="0.3">
      <c r="A697" s="114">
        <v>45285</v>
      </c>
      <c r="C697" s="28">
        <f t="shared" si="46"/>
        <v>0</v>
      </c>
      <c r="E697" s="28">
        <v>1980</v>
      </c>
      <c r="F697" s="28">
        <f t="shared" si="47"/>
        <v>1980</v>
      </c>
      <c r="G697" s="35">
        <f t="shared" si="48"/>
        <v>-1980</v>
      </c>
      <c r="H697" s="93"/>
      <c r="J697" s="68"/>
      <c r="K697" s="28"/>
      <c r="L697" s="28"/>
      <c r="M697" s="28"/>
      <c r="N697" s="28"/>
      <c r="O697" s="28"/>
      <c r="P697" s="29"/>
      <c r="Q697" s="54"/>
      <c r="R697" s="30"/>
    </row>
    <row r="698" spans="1:18" ht="15" hidden="1" customHeight="1" x14ac:dyDescent="0.3">
      <c r="A698" s="114">
        <v>45286</v>
      </c>
      <c r="B698" s="28">
        <v>1642200</v>
      </c>
      <c r="C698" s="28">
        <f t="shared" si="46"/>
        <v>1642200</v>
      </c>
      <c r="D698" s="28">
        <f>22600+60000+53280</f>
        <v>135880</v>
      </c>
      <c r="E698" s="28">
        <f>123977+30240+35090+33260+2392+6300+14750</f>
        <v>246009</v>
      </c>
      <c r="F698" s="28">
        <f t="shared" si="47"/>
        <v>381889</v>
      </c>
      <c r="G698" s="35">
        <f t="shared" si="48"/>
        <v>1260311</v>
      </c>
      <c r="H698" s="93"/>
      <c r="J698" s="68"/>
      <c r="K698" s="28"/>
      <c r="L698" s="28"/>
      <c r="M698" s="28"/>
      <c r="N698" s="28"/>
      <c r="O698" s="28"/>
      <c r="P698" s="29"/>
      <c r="Q698" s="54"/>
      <c r="R698" s="30"/>
    </row>
    <row r="699" spans="1:18" ht="15" hidden="1" customHeight="1" x14ac:dyDescent="0.3">
      <c r="A699" s="114">
        <v>45287</v>
      </c>
      <c r="B699" s="28">
        <f>600000+929866</f>
        <v>1529866</v>
      </c>
      <c r="C699" s="28">
        <f t="shared" si="46"/>
        <v>1529866</v>
      </c>
      <c r="D699" s="28">
        <f>141000+33888+25000</f>
        <v>199888</v>
      </c>
      <c r="E699" s="28">
        <f>1949+12327+2250+3000+28697+70764+3750+16163</f>
        <v>138900</v>
      </c>
      <c r="F699" s="28">
        <f t="shared" si="47"/>
        <v>338788</v>
      </c>
      <c r="G699" s="35">
        <f t="shared" si="48"/>
        <v>1191078</v>
      </c>
      <c r="H699" s="93"/>
      <c r="J699" s="68"/>
      <c r="K699" s="28"/>
      <c r="L699" s="28"/>
      <c r="M699" s="28"/>
      <c r="N699" s="28"/>
      <c r="O699" s="28"/>
      <c r="P699" s="29"/>
      <c r="Q699" s="54"/>
      <c r="R699" s="30"/>
    </row>
    <row r="700" spans="1:18" ht="15" hidden="1" customHeight="1" x14ac:dyDescent="0.3">
      <c r="A700" s="114">
        <v>45288</v>
      </c>
      <c r="B700" s="28">
        <f>301500+84200</f>
        <v>385700</v>
      </c>
      <c r="C700" s="28">
        <f t="shared" si="46"/>
        <v>385700</v>
      </c>
      <c r="E700" s="28">
        <f>5596+26970+6503+6090+12000+39425</f>
        <v>96584</v>
      </c>
      <c r="F700" s="28">
        <f t="shared" si="47"/>
        <v>96584</v>
      </c>
      <c r="G700" s="35">
        <f t="shared" si="48"/>
        <v>289116</v>
      </c>
      <c r="H700" s="93"/>
      <c r="J700" s="68"/>
      <c r="K700" s="28"/>
      <c r="L700" s="28"/>
      <c r="M700" s="28"/>
      <c r="N700" s="28"/>
      <c r="O700" s="28"/>
      <c r="P700" s="29"/>
      <c r="Q700" s="54"/>
      <c r="R700" s="30"/>
    </row>
    <row r="701" spans="1:18" ht="15" hidden="1" customHeight="1" x14ac:dyDescent="0.3">
      <c r="A701" s="114">
        <v>45289</v>
      </c>
      <c r="B701" s="28">
        <v>200400</v>
      </c>
      <c r="C701" s="28">
        <f t="shared" si="46"/>
        <v>200400</v>
      </c>
      <c r="E701" s="28">
        <f>2790+6700+22297+31508+5061</f>
        <v>68356</v>
      </c>
      <c r="F701" s="28">
        <f t="shared" si="47"/>
        <v>68356</v>
      </c>
      <c r="G701" s="35">
        <f t="shared" si="48"/>
        <v>132044</v>
      </c>
      <c r="H701" s="93"/>
      <c r="J701" s="68"/>
      <c r="K701" s="28"/>
      <c r="L701" s="28"/>
      <c r="M701" s="28"/>
      <c r="N701" s="28"/>
      <c r="O701" s="28"/>
      <c r="P701" s="29"/>
      <c r="Q701" s="54"/>
      <c r="R701" s="30"/>
    </row>
    <row r="702" spans="1:18" ht="15" hidden="1" customHeight="1" x14ac:dyDescent="0.3">
      <c r="A702" s="114">
        <v>45290</v>
      </c>
      <c r="B702" s="28">
        <f>30000+200400</f>
        <v>230400</v>
      </c>
      <c r="C702" s="28">
        <f t="shared" si="46"/>
        <v>230400</v>
      </c>
      <c r="D702" s="28">
        <v>130000</v>
      </c>
      <c r="E702" s="28">
        <v>60000</v>
      </c>
      <c r="F702" s="28">
        <f t="shared" si="47"/>
        <v>190000</v>
      </c>
      <c r="G702" s="35">
        <f t="shared" si="48"/>
        <v>40400</v>
      </c>
      <c r="H702" s="93"/>
      <c r="J702" s="68"/>
      <c r="K702" s="28"/>
      <c r="L702" s="28"/>
      <c r="M702" s="28"/>
      <c r="N702" s="28"/>
      <c r="O702" s="28"/>
      <c r="P702" s="29"/>
      <c r="Q702" s="54"/>
      <c r="R702" s="30"/>
    </row>
    <row r="703" spans="1:18" ht="15" hidden="1" customHeight="1" x14ac:dyDescent="0.3">
      <c r="A703" s="114">
        <v>45291</v>
      </c>
      <c r="C703" s="28">
        <f t="shared" si="46"/>
        <v>0</v>
      </c>
      <c r="F703" s="28">
        <f t="shared" si="47"/>
        <v>0</v>
      </c>
      <c r="G703" s="35">
        <f t="shared" si="48"/>
        <v>0</v>
      </c>
      <c r="H703" s="93"/>
      <c r="J703" s="68"/>
      <c r="K703" s="28"/>
      <c r="L703" s="28"/>
      <c r="M703" s="28"/>
      <c r="N703" s="28"/>
      <c r="O703" s="28"/>
      <c r="P703" s="29"/>
      <c r="Q703" s="54"/>
      <c r="R703" s="30"/>
    </row>
    <row r="704" spans="1:18" ht="15" hidden="1" customHeight="1" x14ac:dyDescent="0.3">
      <c r="A704" s="118" t="s">
        <v>42</v>
      </c>
      <c r="B704" s="28">
        <f>SUM(B673:B703)</f>
        <v>11409354.91</v>
      </c>
      <c r="C704" s="28">
        <f>SUM(C673:C703)</f>
        <v>11409354.91</v>
      </c>
      <c r="D704" s="28">
        <f>SUM(D673:D703)</f>
        <v>2768863</v>
      </c>
      <c r="E704" s="28">
        <f>SUM(E673:E703)</f>
        <v>2473954.56</v>
      </c>
      <c r="F704" s="28">
        <f>D704+E704</f>
        <v>5242817.5600000005</v>
      </c>
      <c r="G704" s="35">
        <f t="shared" si="48"/>
        <v>6166537.3499999996</v>
      </c>
      <c r="J704" s="69"/>
      <c r="K704" s="28"/>
      <c r="L704" s="28"/>
      <c r="M704" s="28"/>
      <c r="N704" s="28"/>
      <c r="O704" s="28"/>
      <c r="P704" s="29"/>
      <c r="Q704" s="250"/>
      <c r="R704" s="250"/>
    </row>
    <row r="705" spans="1:8" ht="15" hidden="1" customHeight="1" x14ac:dyDescent="0.3"/>
    <row r="706" spans="1:8" ht="15" hidden="1" customHeight="1" x14ac:dyDescent="0.3"/>
    <row r="707" spans="1:8" ht="15" hidden="1" customHeight="1" x14ac:dyDescent="0.3">
      <c r="A707" s="114">
        <v>45231</v>
      </c>
      <c r="C707" s="28">
        <v>0</v>
      </c>
      <c r="E707" s="28">
        <v>44350.720000000001</v>
      </c>
      <c r="F707" s="28">
        <f>E707+D707</f>
        <v>44350.720000000001</v>
      </c>
      <c r="G707" s="35">
        <f>C707-F707</f>
        <v>-44350.720000000001</v>
      </c>
    </row>
    <row r="708" spans="1:8" ht="15" hidden="1" customHeight="1" x14ac:dyDescent="0.3">
      <c r="A708" s="114">
        <v>45232</v>
      </c>
      <c r="C708" s="28">
        <v>0</v>
      </c>
      <c r="D708" s="28">
        <v>300000</v>
      </c>
      <c r="F708" s="28">
        <f t="shared" ref="F708:F736" si="49">E708+D708</f>
        <v>300000</v>
      </c>
      <c r="G708" s="35">
        <f t="shared" ref="G708:G736" si="50">C708-F708</f>
        <v>-300000</v>
      </c>
      <c r="H708" s="54" t="s">
        <v>212</v>
      </c>
    </row>
    <row r="709" spans="1:8" ht="15" hidden="1" customHeight="1" x14ac:dyDescent="0.3">
      <c r="A709" s="114">
        <v>45233</v>
      </c>
      <c r="C709" s="28">
        <v>0</v>
      </c>
      <c r="D709" s="28">
        <v>11950</v>
      </c>
      <c r="E709" s="28">
        <v>12884</v>
      </c>
      <c r="F709" s="28">
        <f t="shared" si="49"/>
        <v>24834</v>
      </c>
      <c r="G709" s="35">
        <f t="shared" si="50"/>
        <v>-24834</v>
      </c>
      <c r="H709" s="54" t="s">
        <v>211</v>
      </c>
    </row>
    <row r="710" spans="1:8" ht="15" hidden="1" customHeight="1" x14ac:dyDescent="0.3">
      <c r="A710" s="114">
        <v>45234</v>
      </c>
      <c r="B710" s="28">
        <v>34000</v>
      </c>
      <c r="C710" s="28">
        <v>34000</v>
      </c>
      <c r="D710" s="28">
        <v>23166</v>
      </c>
      <c r="E710" s="28">
        <v>113542</v>
      </c>
      <c r="F710" s="28">
        <f t="shared" si="49"/>
        <v>136708</v>
      </c>
      <c r="G710" s="35">
        <f t="shared" si="50"/>
        <v>-102708</v>
      </c>
    </row>
    <row r="711" spans="1:8" ht="15" hidden="1" customHeight="1" x14ac:dyDescent="0.3">
      <c r="A711" s="114">
        <v>45235</v>
      </c>
      <c r="B711" s="28">
        <v>61550</v>
      </c>
      <c r="C711" s="28">
        <v>61550</v>
      </c>
      <c r="D711" s="28">
        <v>129676</v>
      </c>
      <c r="E711" s="28">
        <v>16285</v>
      </c>
      <c r="F711" s="28">
        <f t="shared" si="49"/>
        <v>145961</v>
      </c>
      <c r="G711" s="35">
        <f t="shared" si="50"/>
        <v>-84411</v>
      </c>
      <c r="H711" s="54" t="s">
        <v>213</v>
      </c>
    </row>
    <row r="712" spans="1:8" ht="15" hidden="1" customHeight="1" x14ac:dyDescent="0.3">
      <c r="A712" s="114">
        <v>45236</v>
      </c>
      <c r="B712" s="28">
        <v>1225343</v>
      </c>
      <c r="C712" s="28">
        <v>1225343</v>
      </c>
      <c r="D712" s="28">
        <v>80000</v>
      </c>
      <c r="F712" s="28">
        <f t="shared" si="49"/>
        <v>80000</v>
      </c>
      <c r="G712" s="35">
        <f t="shared" si="50"/>
        <v>1145343</v>
      </c>
    </row>
    <row r="713" spans="1:8" ht="15" hidden="1" customHeight="1" x14ac:dyDescent="0.3">
      <c r="A713" s="114">
        <v>45237</v>
      </c>
      <c r="C713" s="28">
        <v>0</v>
      </c>
      <c r="E713" s="28">
        <v>17100</v>
      </c>
      <c r="F713" s="28">
        <f t="shared" si="49"/>
        <v>17100</v>
      </c>
      <c r="G713" s="35">
        <f t="shared" si="50"/>
        <v>-17100</v>
      </c>
    </row>
    <row r="714" spans="1:8" ht="15" hidden="1" customHeight="1" x14ac:dyDescent="0.3">
      <c r="A714" s="114">
        <v>45238</v>
      </c>
      <c r="B714" s="28">
        <v>245000</v>
      </c>
      <c r="C714" s="28">
        <v>245000</v>
      </c>
      <c r="E714" s="28">
        <v>22503</v>
      </c>
      <c r="F714" s="28">
        <f t="shared" si="49"/>
        <v>22503</v>
      </c>
      <c r="G714" s="35">
        <f t="shared" si="50"/>
        <v>222497</v>
      </c>
    </row>
    <row r="715" spans="1:8" ht="15" hidden="1" customHeight="1" x14ac:dyDescent="0.3">
      <c r="A715" s="114">
        <v>45239</v>
      </c>
      <c r="C715" s="28">
        <v>0</v>
      </c>
      <c r="E715" s="28">
        <v>128000</v>
      </c>
      <c r="F715" s="28">
        <f t="shared" si="49"/>
        <v>128000</v>
      </c>
      <c r="G715" s="35">
        <f t="shared" si="50"/>
        <v>-128000</v>
      </c>
    </row>
    <row r="716" spans="1:8" ht="15" hidden="1" customHeight="1" x14ac:dyDescent="0.3">
      <c r="A716" s="114">
        <v>45240</v>
      </c>
      <c r="B716" s="28">
        <v>458150</v>
      </c>
      <c r="C716" s="28">
        <v>458150</v>
      </c>
      <c r="D716" s="28">
        <v>56667</v>
      </c>
      <c r="E716" s="28">
        <v>9113</v>
      </c>
      <c r="F716" s="28">
        <f t="shared" si="49"/>
        <v>65780</v>
      </c>
      <c r="G716" s="35">
        <f t="shared" si="50"/>
        <v>392370</v>
      </c>
    </row>
    <row r="717" spans="1:8" ht="15" hidden="1" customHeight="1" x14ac:dyDescent="0.3">
      <c r="A717" s="114">
        <v>45241</v>
      </c>
      <c r="C717" s="28">
        <v>0</v>
      </c>
      <c r="D717" s="28">
        <v>20250</v>
      </c>
      <c r="E717" s="28">
        <v>2000</v>
      </c>
      <c r="F717" s="28">
        <f t="shared" si="49"/>
        <v>22250</v>
      </c>
      <c r="G717" s="35">
        <f t="shared" si="50"/>
        <v>-22250</v>
      </c>
      <c r="H717" s="54" t="s">
        <v>186</v>
      </c>
    </row>
    <row r="718" spans="1:8" ht="15" hidden="1" customHeight="1" x14ac:dyDescent="0.3">
      <c r="A718" s="114">
        <v>45242</v>
      </c>
      <c r="C718" s="28">
        <v>0</v>
      </c>
      <c r="E718" s="28">
        <v>18950</v>
      </c>
      <c r="F718" s="28">
        <f t="shared" si="49"/>
        <v>18950</v>
      </c>
      <c r="G718" s="35">
        <f t="shared" si="50"/>
        <v>-18950</v>
      </c>
    </row>
    <row r="719" spans="1:8" ht="15" hidden="1" customHeight="1" x14ac:dyDescent="0.3">
      <c r="A719" s="114">
        <v>45243</v>
      </c>
      <c r="C719" s="28">
        <v>0</v>
      </c>
      <c r="F719" s="28">
        <f t="shared" si="49"/>
        <v>0</v>
      </c>
      <c r="G719" s="35">
        <f t="shared" si="50"/>
        <v>0</v>
      </c>
    </row>
    <row r="720" spans="1:8" ht="15" hidden="1" customHeight="1" x14ac:dyDescent="0.3">
      <c r="A720" s="114">
        <v>45244</v>
      </c>
      <c r="C720" s="28">
        <v>0</v>
      </c>
      <c r="D720" s="28">
        <v>68070</v>
      </c>
      <c r="E720" s="28">
        <v>70740</v>
      </c>
      <c r="F720" s="28">
        <f t="shared" si="49"/>
        <v>138810</v>
      </c>
      <c r="G720" s="35">
        <f t="shared" si="50"/>
        <v>-138810</v>
      </c>
    </row>
    <row r="721" spans="1:7" ht="15" hidden="1" customHeight="1" x14ac:dyDescent="0.3">
      <c r="A721" s="114">
        <v>45245</v>
      </c>
      <c r="C721" s="28">
        <v>0</v>
      </c>
      <c r="D721" s="28">
        <v>86905</v>
      </c>
      <c r="E721" s="28">
        <v>55929</v>
      </c>
      <c r="F721" s="28">
        <f t="shared" si="49"/>
        <v>142834</v>
      </c>
      <c r="G721" s="35">
        <f t="shared" si="50"/>
        <v>-142834</v>
      </c>
    </row>
    <row r="722" spans="1:7" ht="15" hidden="1" customHeight="1" x14ac:dyDescent="0.3">
      <c r="A722" s="114">
        <v>45246</v>
      </c>
      <c r="C722" s="28">
        <v>0</v>
      </c>
      <c r="E722" s="28">
        <v>24818</v>
      </c>
      <c r="F722" s="28">
        <f t="shared" si="49"/>
        <v>24818</v>
      </c>
      <c r="G722" s="35">
        <f t="shared" si="50"/>
        <v>-24818</v>
      </c>
    </row>
    <row r="723" spans="1:7" ht="15" hidden="1" customHeight="1" x14ac:dyDescent="0.3">
      <c r="A723" s="114">
        <v>45247</v>
      </c>
      <c r="B723" s="28">
        <v>192542</v>
      </c>
      <c r="C723" s="28">
        <v>192542</v>
      </c>
      <c r="D723" s="28">
        <v>4500</v>
      </c>
      <c r="E723" s="28">
        <v>6963</v>
      </c>
      <c r="F723" s="28">
        <f t="shared" si="49"/>
        <v>11463</v>
      </c>
      <c r="G723" s="35">
        <f t="shared" si="50"/>
        <v>181079</v>
      </c>
    </row>
    <row r="724" spans="1:7" ht="15" hidden="1" customHeight="1" x14ac:dyDescent="0.3">
      <c r="A724" s="114">
        <v>45248</v>
      </c>
      <c r="B724" s="28">
        <v>72700</v>
      </c>
      <c r="C724" s="28">
        <v>72700</v>
      </c>
      <c r="E724" s="28">
        <v>5638</v>
      </c>
      <c r="F724" s="28">
        <f t="shared" si="49"/>
        <v>5638</v>
      </c>
      <c r="G724" s="35">
        <f t="shared" si="50"/>
        <v>67062</v>
      </c>
    </row>
    <row r="725" spans="1:7" ht="15" hidden="1" customHeight="1" x14ac:dyDescent="0.3">
      <c r="A725" s="114">
        <v>45249</v>
      </c>
      <c r="C725" s="28">
        <v>0</v>
      </c>
      <c r="F725" s="28">
        <f t="shared" si="49"/>
        <v>0</v>
      </c>
      <c r="G725" s="35">
        <f t="shared" si="50"/>
        <v>0</v>
      </c>
    </row>
    <row r="726" spans="1:7" ht="15" hidden="1" customHeight="1" x14ac:dyDescent="0.3">
      <c r="A726" s="114">
        <v>45250</v>
      </c>
      <c r="C726" s="28">
        <v>0</v>
      </c>
      <c r="F726" s="28">
        <f t="shared" si="49"/>
        <v>0</v>
      </c>
      <c r="G726" s="35">
        <f t="shared" si="50"/>
        <v>0</v>
      </c>
    </row>
    <row r="727" spans="1:7" ht="15" hidden="1" customHeight="1" x14ac:dyDescent="0.3">
      <c r="A727" s="114">
        <v>45251</v>
      </c>
      <c r="C727" s="28">
        <v>0</v>
      </c>
      <c r="E727" s="28">
        <f>30603+9368</f>
        <v>39971</v>
      </c>
      <c r="F727" s="28">
        <f t="shared" si="49"/>
        <v>39971</v>
      </c>
      <c r="G727" s="35">
        <f t="shared" si="50"/>
        <v>-39971</v>
      </c>
    </row>
    <row r="728" spans="1:7" ht="15" hidden="1" customHeight="1" x14ac:dyDescent="0.3">
      <c r="A728" s="114">
        <v>45252</v>
      </c>
      <c r="C728" s="28">
        <v>0</v>
      </c>
      <c r="D728" s="28">
        <f>1600+60195+35322+15105</f>
        <v>112222</v>
      </c>
      <c r="E728" s="28">
        <v>15042</v>
      </c>
      <c r="F728" s="28">
        <f t="shared" si="49"/>
        <v>127264</v>
      </c>
      <c r="G728" s="35">
        <f t="shared" si="50"/>
        <v>-127264</v>
      </c>
    </row>
    <row r="729" spans="1:7" ht="15" hidden="1" customHeight="1" x14ac:dyDescent="0.3">
      <c r="A729" s="114">
        <v>45253</v>
      </c>
      <c r="B729" s="28">
        <v>216461</v>
      </c>
      <c r="C729" s="28">
        <v>216461</v>
      </c>
      <c r="D729" s="28">
        <v>66462</v>
      </c>
      <c r="E729" s="28">
        <v>28670</v>
      </c>
      <c r="F729" s="28">
        <f t="shared" si="49"/>
        <v>95132</v>
      </c>
      <c r="G729" s="35">
        <f t="shared" si="50"/>
        <v>121329</v>
      </c>
    </row>
    <row r="730" spans="1:7" ht="15" hidden="1" customHeight="1" x14ac:dyDescent="0.3">
      <c r="A730" s="114">
        <v>45254</v>
      </c>
      <c r="B730" s="28">
        <v>211100</v>
      </c>
      <c r="C730" s="28">
        <v>211100</v>
      </c>
      <c r="D730" s="28">
        <v>14470</v>
      </c>
      <c r="F730" s="28">
        <f t="shared" si="49"/>
        <v>14470</v>
      </c>
      <c r="G730" s="35">
        <f t="shared" si="50"/>
        <v>196630</v>
      </c>
    </row>
    <row r="731" spans="1:7" ht="15" hidden="1" customHeight="1" x14ac:dyDescent="0.3">
      <c r="A731" s="114">
        <v>45255</v>
      </c>
      <c r="B731" s="28">
        <v>200000</v>
      </c>
      <c r="C731" s="28">
        <v>200000</v>
      </c>
      <c r="E731" s="28">
        <v>32000</v>
      </c>
      <c r="F731" s="28">
        <f t="shared" si="49"/>
        <v>32000</v>
      </c>
      <c r="G731" s="35">
        <f t="shared" si="50"/>
        <v>168000</v>
      </c>
    </row>
    <row r="732" spans="1:7" ht="15" hidden="1" customHeight="1" x14ac:dyDescent="0.3">
      <c r="A732" s="114">
        <v>45256</v>
      </c>
      <c r="B732" s="28">
        <v>26000</v>
      </c>
      <c r="C732" s="28">
        <v>26000</v>
      </c>
      <c r="D732" s="28">
        <v>20000</v>
      </c>
      <c r="E732" s="28">
        <v>62320</v>
      </c>
      <c r="F732" s="28">
        <f t="shared" si="49"/>
        <v>82320</v>
      </c>
      <c r="G732" s="35">
        <f t="shared" si="50"/>
        <v>-56320</v>
      </c>
    </row>
    <row r="733" spans="1:7" ht="15" hidden="1" customHeight="1" x14ac:dyDescent="0.3">
      <c r="A733" s="114">
        <v>45257</v>
      </c>
      <c r="C733" s="28">
        <v>0</v>
      </c>
      <c r="D733" s="28">
        <v>37280</v>
      </c>
      <c r="E733" s="28">
        <v>58600</v>
      </c>
      <c r="F733" s="28">
        <f t="shared" si="49"/>
        <v>95880</v>
      </c>
      <c r="G733" s="35">
        <f t="shared" si="50"/>
        <v>-95880</v>
      </c>
    </row>
    <row r="734" spans="1:7" ht="15" hidden="1" customHeight="1" x14ac:dyDescent="0.3">
      <c r="A734" s="114">
        <v>45258</v>
      </c>
      <c r="B734" s="28">
        <v>1395606</v>
      </c>
      <c r="C734" s="28">
        <v>1395606</v>
      </c>
      <c r="D734" s="28">
        <v>190000</v>
      </c>
      <c r="E734" s="28">
        <v>7770</v>
      </c>
      <c r="F734" s="28">
        <f t="shared" si="49"/>
        <v>197770</v>
      </c>
      <c r="G734" s="35">
        <f t="shared" si="50"/>
        <v>1197836</v>
      </c>
    </row>
    <row r="735" spans="1:7" ht="15" hidden="1" customHeight="1" x14ac:dyDescent="0.3">
      <c r="A735" s="114">
        <v>45259</v>
      </c>
      <c r="C735" s="28">
        <v>0</v>
      </c>
      <c r="F735" s="28">
        <f t="shared" si="49"/>
        <v>0</v>
      </c>
      <c r="G735" s="35">
        <f t="shared" si="50"/>
        <v>0</v>
      </c>
    </row>
    <row r="736" spans="1:7" ht="15" hidden="1" customHeight="1" x14ac:dyDescent="0.3">
      <c r="A736" s="114">
        <v>45260</v>
      </c>
      <c r="C736" s="28">
        <v>0</v>
      </c>
      <c r="E736" s="28">
        <v>16500</v>
      </c>
      <c r="F736" s="28">
        <f t="shared" si="49"/>
        <v>16500</v>
      </c>
      <c r="G736" s="35">
        <f t="shared" si="50"/>
        <v>-16500</v>
      </c>
    </row>
    <row r="737" spans="1:8" ht="15" hidden="1" customHeight="1" x14ac:dyDescent="0.3">
      <c r="A737" s="118" t="s">
        <v>41</v>
      </c>
      <c r="B737" s="28">
        <v>4338452</v>
      </c>
      <c r="C737" s="28">
        <v>4338452</v>
      </c>
      <c r="D737" s="28">
        <f>SUM(D707:D736)</f>
        <v>1221618</v>
      </c>
      <c r="E737" s="28">
        <f>SUM(E707:E736)</f>
        <v>809688.72</v>
      </c>
      <c r="F737" s="28">
        <f>SUM(F707:F736)</f>
        <v>2031306.72</v>
      </c>
      <c r="G737" s="28">
        <f>SUM(G707:G736)</f>
        <v>2307145.2800000003</v>
      </c>
    </row>
    <row r="738" spans="1:8" ht="15" hidden="1" customHeight="1" x14ac:dyDescent="0.3"/>
    <row r="739" spans="1:8" ht="15" hidden="1" customHeight="1" x14ac:dyDescent="0.3"/>
    <row r="740" spans="1:8" ht="15" hidden="1" customHeight="1" x14ac:dyDescent="0.3"/>
    <row r="741" spans="1:8" ht="15" hidden="1" customHeight="1" x14ac:dyDescent="0.3">
      <c r="A741" s="114">
        <v>45200</v>
      </c>
      <c r="C741" s="28">
        <v>0</v>
      </c>
      <c r="D741" s="28">
        <v>3995</v>
      </c>
      <c r="F741" s="28">
        <f>D741+E741</f>
        <v>3995</v>
      </c>
      <c r="G741" s="35">
        <v>-3995</v>
      </c>
      <c r="H741" s="54" t="s">
        <v>207</v>
      </c>
    </row>
    <row r="742" spans="1:8" ht="15" hidden="1" customHeight="1" x14ac:dyDescent="0.3">
      <c r="A742" s="114">
        <v>45201</v>
      </c>
      <c r="C742" s="28">
        <v>0</v>
      </c>
      <c r="E742" s="28">
        <v>32490</v>
      </c>
      <c r="F742" s="28">
        <f t="shared" ref="F742:F771" si="51">D742+E742</f>
        <v>32490</v>
      </c>
      <c r="G742" s="35">
        <v>-32490</v>
      </c>
      <c r="H742" s="54" t="s">
        <v>208</v>
      </c>
    </row>
    <row r="743" spans="1:8" ht="15" hidden="1" customHeight="1" x14ac:dyDescent="0.3">
      <c r="A743" s="114">
        <v>45202</v>
      </c>
      <c r="C743" s="28">
        <v>0</v>
      </c>
      <c r="E743" s="28">
        <v>69010</v>
      </c>
      <c r="F743" s="28">
        <f t="shared" si="51"/>
        <v>69010</v>
      </c>
      <c r="G743" s="35">
        <v>-69010</v>
      </c>
    </row>
    <row r="744" spans="1:8" ht="15" hidden="1" customHeight="1" x14ac:dyDescent="0.3">
      <c r="A744" s="114">
        <v>45203</v>
      </c>
      <c r="C744" s="28">
        <v>0</v>
      </c>
      <c r="D744" s="28">
        <v>32067</v>
      </c>
      <c r="E744" s="28">
        <v>42900</v>
      </c>
      <c r="F744" s="28">
        <f t="shared" si="51"/>
        <v>74967</v>
      </c>
      <c r="G744" s="35">
        <v>-74967</v>
      </c>
    </row>
    <row r="745" spans="1:8" ht="15" hidden="1" customHeight="1" x14ac:dyDescent="0.3">
      <c r="A745" s="114">
        <v>45204</v>
      </c>
      <c r="C745" s="28">
        <v>0</v>
      </c>
      <c r="D745" s="28">
        <v>300000</v>
      </c>
      <c r="E745" s="28">
        <v>14120</v>
      </c>
      <c r="F745" s="28">
        <f t="shared" si="51"/>
        <v>314120</v>
      </c>
      <c r="G745" s="35">
        <v>-314120</v>
      </c>
    </row>
    <row r="746" spans="1:8" ht="15" hidden="1" customHeight="1" x14ac:dyDescent="0.3">
      <c r="A746" s="114">
        <v>45205</v>
      </c>
      <c r="B746" s="28">
        <v>72000</v>
      </c>
      <c r="C746" s="28">
        <v>72000</v>
      </c>
      <c r="D746" s="28">
        <v>20650</v>
      </c>
      <c r="E746" s="28">
        <v>82268</v>
      </c>
      <c r="F746" s="28">
        <f t="shared" si="51"/>
        <v>102918</v>
      </c>
      <c r="G746" s="35">
        <v>-30918</v>
      </c>
      <c r="H746" s="54" t="s">
        <v>186</v>
      </c>
    </row>
    <row r="747" spans="1:8" ht="15" hidden="1" customHeight="1" x14ac:dyDescent="0.3">
      <c r="A747" s="114">
        <v>45206</v>
      </c>
      <c r="B747" s="28">
        <v>216000</v>
      </c>
      <c r="C747" s="28">
        <v>216000</v>
      </c>
      <c r="D747" s="28">
        <v>163200</v>
      </c>
      <c r="E747" s="28">
        <v>9198</v>
      </c>
      <c r="F747" s="28">
        <f t="shared" si="51"/>
        <v>172398</v>
      </c>
      <c r="G747" s="35">
        <v>43602</v>
      </c>
    </row>
    <row r="748" spans="1:8" ht="15" hidden="1" customHeight="1" x14ac:dyDescent="0.3">
      <c r="A748" s="114">
        <v>45207</v>
      </c>
      <c r="B748" s="28">
        <v>130800</v>
      </c>
      <c r="C748" s="28">
        <v>130800</v>
      </c>
      <c r="D748" s="28">
        <v>30000</v>
      </c>
      <c r="F748" s="28">
        <f t="shared" si="51"/>
        <v>30000</v>
      </c>
      <c r="G748" s="35">
        <v>100800</v>
      </c>
      <c r="H748" s="54" t="s">
        <v>206</v>
      </c>
    </row>
    <row r="749" spans="1:8" ht="15" hidden="1" customHeight="1" x14ac:dyDescent="0.3">
      <c r="A749" s="114">
        <v>45208</v>
      </c>
      <c r="C749" s="28">
        <v>0</v>
      </c>
      <c r="D749" s="28">
        <v>26084</v>
      </c>
      <c r="F749" s="28">
        <f t="shared" si="51"/>
        <v>26084</v>
      </c>
      <c r="G749" s="35">
        <v>-26084</v>
      </c>
    </row>
    <row r="750" spans="1:8" ht="15" hidden="1" customHeight="1" x14ac:dyDescent="0.3">
      <c r="A750" s="114">
        <v>45209</v>
      </c>
      <c r="C750" s="28">
        <v>0</v>
      </c>
      <c r="F750" s="28">
        <f t="shared" si="51"/>
        <v>0</v>
      </c>
      <c r="G750" s="35">
        <v>0</v>
      </c>
    </row>
    <row r="751" spans="1:8" ht="15" hidden="1" customHeight="1" x14ac:dyDescent="0.3">
      <c r="A751" s="114">
        <v>45210</v>
      </c>
      <c r="C751" s="28">
        <v>0</v>
      </c>
      <c r="D751" s="28">
        <v>8990</v>
      </c>
      <c r="F751" s="28">
        <f t="shared" si="51"/>
        <v>8990</v>
      </c>
      <c r="G751" s="35">
        <v>-8990</v>
      </c>
    </row>
    <row r="752" spans="1:8" ht="15" hidden="1" customHeight="1" x14ac:dyDescent="0.3">
      <c r="A752" s="114">
        <v>45211</v>
      </c>
      <c r="C752" s="28">
        <v>0</v>
      </c>
      <c r="F752" s="28">
        <f t="shared" si="51"/>
        <v>0</v>
      </c>
      <c r="G752" s="35">
        <v>0</v>
      </c>
    </row>
    <row r="753" spans="1:12" ht="15" hidden="1" customHeight="1" x14ac:dyDescent="0.3">
      <c r="A753" s="114">
        <v>45212</v>
      </c>
      <c r="B753" s="28">
        <v>38000</v>
      </c>
      <c r="C753" s="28">
        <v>38000</v>
      </c>
      <c r="E753" s="28">
        <v>62754</v>
      </c>
      <c r="F753" s="28">
        <f t="shared" si="51"/>
        <v>62754</v>
      </c>
      <c r="G753" s="35">
        <v>-24754</v>
      </c>
      <c r="H753" s="54" t="s">
        <v>210</v>
      </c>
    </row>
    <row r="754" spans="1:12" ht="15" hidden="1" customHeight="1" x14ac:dyDescent="0.3">
      <c r="A754" s="114">
        <v>45213</v>
      </c>
      <c r="C754" s="28">
        <v>0</v>
      </c>
      <c r="F754" s="28">
        <f t="shared" si="51"/>
        <v>0</v>
      </c>
      <c r="G754" s="35">
        <v>0</v>
      </c>
    </row>
    <row r="755" spans="1:12" ht="15" hidden="1" customHeight="1" x14ac:dyDescent="0.3">
      <c r="A755" s="114">
        <v>45214</v>
      </c>
      <c r="C755" s="28">
        <v>0</v>
      </c>
      <c r="F755" s="28">
        <f t="shared" si="51"/>
        <v>0</v>
      </c>
      <c r="G755" s="35">
        <v>0</v>
      </c>
    </row>
    <row r="756" spans="1:12" ht="15" hidden="1" customHeight="1" x14ac:dyDescent="0.3">
      <c r="A756" s="114">
        <v>45215</v>
      </c>
      <c r="B756" s="28">
        <v>27000</v>
      </c>
      <c r="C756" s="28">
        <v>27000</v>
      </c>
      <c r="F756" s="28">
        <f t="shared" si="51"/>
        <v>0</v>
      </c>
      <c r="G756" s="35">
        <v>27000</v>
      </c>
    </row>
    <row r="757" spans="1:12" ht="15" hidden="1" customHeight="1" x14ac:dyDescent="0.3">
      <c r="A757" s="114">
        <v>45216</v>
      </c>
      <c r="C757" s="28">
        <v>0</v>
      </c>
      <c r="F757" s="28">
        <f t="shared" si="51"/>
        <v>0</v>
      </c>
      <c r="G757" s="35">
        <v>0</v>
      </c>
    </row>
    <row r="758" spans="1:12" ht="15" hidden="1" customHeight="1" x14ac:dyDescent="0.3">
      <c r="A758" s="114">
        <v>45217</v>
      </c>
      <c r="C758" s="28">
        <v>0</v>
      </c>
      <c r="F758" s="28">
        <f t="shared" si="51"/>
        <v>0</v>
      </c>
      <c r="G758" s="35">
        <v>0</v>
      </c>
    </row>
    <row r="759" spans="1:12" ht="15" hidden="1" customHeight="1" x14ac:dyDescent="0.3">
      <c r="A759" s="114">
        <v>45218</v>
      </c>
      <c r="C759" s="28">
        <v>0</v>
      </c>
      <c r="F759" s="28">
        <f t="shared" si="51"/>
        <v>0</v>
      </c>
      <c r="G759" s="35">
        <v>0</v>
      </c>
    </row>
    <row r="760" spans="1:12" ht="15" hidden="1" customHeight="1" x14ac:dyDescent="0.3">
      <c r="A760" s="114">
        <v>45219</v>
      </c>
      <c r="C760" s="28">
        <v>0</v>
      </c>
      <c r="E760" s="28">
        <v>38977</v>
      </c>
      <c r="F760" s="28">
        <f t="shared" si="51"/>
        <v>38977</v>
      </c>
      <c r="G760" s="35">
        <v>-38977</v>
      </c>
      <c r="L760" s="30">
        <v>45231</v>
      </c>
    </row>
    <row r="761" spans="1:12" ht="15" hidden="1" customHeight="1" x14ac:dyDescent="0.3">
      <c r="A761" s="114">
        <v>45220</v>
      </c>
      <c r="B761" s="28">
        <v>76000</v>
      </c>
      <c r="C761" s="28">
        <v>76000</v>
      </c>
      <c r="F761" s="28">
        <f t="shared" si="51"/>
        <v>0</v>
      </c>
      <c r="G761" s="35">
        <v>76000</v>
      </c>
      <c r="L761" s="30">
        <v>45232</v>
      </c>
    </row>
    <row r="762" spans="1:12" ht="15" hidden="1" customHeight="1" x14ac:dyDescent="0.3">
      <c r="A762" s="114">
        <v>45221</v>
      </c>
      <c r="B762" s="28">
        <v>28000</v>
      </c>
      <c r="C762" s="28">
        <v>28000</v>
      </c>
      <c r="E762" s="28">
        <v>10084</v>
      </c>
      <c r="F762" s="28">
        <f t="shared" si="51"/>
        <v>10084</v>
      </c>
      <c r="G762" s="35">
        <v>17916</v>
      </c>
      <c r="L762" s="30">
        <v>45233</v>
      </c>
    </row>
    <row r="763" spans="1:12" ht="15" hidden="1" customHeight="1" x14ac:dyDescent="0.3">
      <c r="A763" s="114">
        <v>45222</v>
      </c>
      <c r="C763" s="28">
        <v>0</v>
      </c>
      <c r="D763" s="28">
        <v>33142</v>
      </c>
      <c r="E763" s="28">
        <v>56292</v>
      </c>
      <c r="F763" s="28">
        <f t="shared" si="51"/>
        <v>89434</v>
      </c>
      <c r="G763" s="35">
        <v>-89434</v>
      </c>
      <c r="L763" s="30">
        <v>45234</v>
      </c>
    </row>
    <row r="764" spans="1:12" ht="15" hidden="1" customHeight="1" x14ac:dyDescent="0.3">
      <c r="A764" s="114">
        <v>45223</v>
      </c>
      <c r="C764" s="28">
        <v>0</v>
      </c>
      <c r="D764" s="28">
        <v>18900</v>
      </c>
      <c r="E764" s="28">
        <v>11200</v>
      </c>
      <c r="F764" s="28">
        <f t="shared" si="51"/>
        <v>30100</v>
      </c>
      <c r="G764" s="35">
        <v>-30100</v>
      </c>
      <c r="H764" s="54" t="s">
        <v>191</v>
      </c>
      <c r="L764" s="30">
        <v>45235</v>
      </c>
    </row>
    <row r="765" spans="1:12" ht="15" hidden="1" customHeight="1" x14ac:dyDescent="0.3">
      <c r="A765" s="114">
        <v>45224</v>
      </c>
      <c r="B765" s="28">
        <v>816221</v>
      </c>
      <c r="C765" s="28">
        <v>816221</v>
      </c>
      <c r="D765" s="28">
        <v>50000</v>
      </c>
      <c r="F765" s="28">
        <f t="shared" si="51"/>
        <v>50000</v>
      </c>
      <c r="G765" s="35">
        <v>766221</v>
      </c>
      <c r="L765" s="30">
        <v>45236</v>
      </c>
    </row>
    <row r="766" spans="1:12" ht="15" hidden="1" customHeight="1" x14ac:dyDescent="0.3">
      <c r="A766" s="114">
        <v>45225</v>
      </c>
      <c r="C766" s="28">
        <v>0</v>
      </c>
      <c r="D766" s="28">
        <v>15000</v>
      </c>
      <c r="F766" s="28">
        <f t="shared" si="51"/>
        <v>15000</v>
      </c>
      <c r="G766" s="35">
        <v>-15000</v>
      </c>
      <c r="L766" s="30">
        <v>45237</v>
      </c>
    </row>
    <row r="767" spans="1:12" ht="15" hidden="1" customHeight="1" x14ac:dyDescent="0.3">
      <c r="A767" s="114">
        <v>45226</v>
      </c>
      <c r="C767" s="28">
        <v>0</v>
      </c>
      <c r="F767" s="28">
        <f t="shared" si="51"/>
        <v>0</v>
      </c>
      <c r="G767" s="35">
        <v>0</v>
      </c>
      <c r="L767" s="30">
        <v>45238</v>
      </c>
    </row>
    <row r="768" spans="1:12" ht="15" hidden="1" customHeight="1" x14ac:dyDescent="0.3">
      <c r="A768" s="114">
        <v>45227</v>
      </c>
      <c r="C768" s="28">
        <v>0</v>
      </c>
      <c r="F768" s="28">
        <f t="shared" si="51"/>
        <v>0</v>
      </c>
      <c r="G768" s="35">
        <v>0</v>
      </c>
      <c r="L768" s="30">
        <v>45239</v>
      </c>
    </row>
    <row r="769" spans="1:12" ht="15" hidden="1" customHeight="1" x14ac:dyDescent="0.3">
      <c r="A769" s="114">
        <v>45228</v>
      </c>
      <c r="B769" s="28">
        <v>36000</v>
      </c>
      <c r="C769" s="28">
        <v>36000</v>
      </c>
      <c r="D769" s="28">
        <f>29990+86500</f>
        <v>116490</v>
      </c>
      <c r="E769" s="28">
        <v>35064</v>
      </c>
      <c r="F769" s="28">
        <f t="shared" si="51"/>
        <v>151554</v>
      </c>
      <c r="G769" s="35">
        <v>-85564</v>
      </c>
      <c r="L769" s="30">
        <v>45240</v>
      </c>
    </row>
    <row r="770" spans="1:12" ht="15" hidden="1" customHeight="1" x14ac:dyDescent="0.3">
      <c r="A770" s="114">
        <v>45229</v>
      </c>
      <c r="C770" s="28">
        <v>0</v>
      </c>
      <c r="E770" s="28">
        <v>25858</v>
      </c>
      <c r="F770" s="28">
        <f t="shared" si="51"/>
        <v>25858</v>
      </c>
      <c r="G770" s="35">
        <v>0</v>
      </c>
      <c r="L770" s="30">
        <v>45241</v>
      </c>
    </row>
    <row r="771" spans="1:12" ht="15" hidden="1" customHeight="1" x14ac:dyDescent="0.3">
      <c r="A771" s="114">
        <v>45230</v>
      </c>
      <c r="B771" s="28">
        <v>465000</v>
      </c>
      <c r="C771" s="28">
        <v>465000</v>
      </c>
      <c r="D771" s="28">
        <v>42000</v>
      </c>
      <c r="E771" s="28">
        <v>7260</v>
      </c>
      <c r="F771" s="28">
        <f t="shared" si="51"/>
        <v>49260</v>
      </c>
      <c r="G771" s="35">
        <v>415740</v>
      </c>
      <c r="L771" s="30">
        <v>45242</v>
      </c>
    </row>
    <row r="772" spans="1:12" ht="15" hidden="1" customHeight="1" x14ac:dyDescent="0.3">
      <c r="A772" s="118" t="s">
        <v>40</v>
      </c>
      <c r="B772" s="28">
        <f>SUM(B741:B771)</f>
        <v>1905021</v>
      </c>
      <c r="C772" s="28">
        <f>B772</f>
        <v>1905021</v>
      </c>
      <c r="D772" s="28">
        <f>SUM(D741:D771)</f>
        <v>860518</v>
      </c>
      <c r="E772" s="28">
        <f>SUM(E741:E771)</f>
        <v>497475</v>
      </c>
      <c r="F772" s="28">
        <f>E772+D772</f>
        <v>1357993</v>
      </c>
      <c r="G772" s="35">
        <f>C772-F772</f>
        <v>547028</v>
      </c>
      <c r="L772" s="30">
        <v>45243</v>
      </c>
    </row>
    <row r="773" spans="1:12" ht="15" hidden="1" customHeight="1" x14ac:dyDescent="0.3">
      <c r="L773" s="30">
        <v>45244</v>
      </c>
    </row>
    <row r="774" spans="1:12" ht="15" hidden="1" customHeight="1" x14ac:dyDescent="0.3">
      <c r="L774" s="30">
        <v>45245</v>
      </c>
    </row>
    <row r="775" spans="1:12" ht="15" hidden="1" customHeight="1" x14ac:dyDescent="0.3">
      <c r="L775" s="30">
        <v>45246</v>
      </c>
    </row>
    <row r="776" spans="1:12" ht="15" hidden="1" customHeight="1" x14ac:dyDescent="0.3">
      <c r="L776" s="30">
        <v>45247</v>
      </c>
    </row>
    <row r="777" spans="1:12" ht="15" hidden="1" customHeight="1" thickBot="1" x14ac:dyDescent="0.35">
      <c r="L777" s="30">
        <v>45248</v>
      </c>
    </row>
    <row r="778" spans="1:12" ht="15" hidden="1" customHeight="1" thickBot="1" x14ac:dyDescent="0.35">
      <c r="A778" s="113" t="s">
        <v>4</v>
      </c>
      <c r="B778" s="103" t="s">
        <v>6</v>
      </c>
      <c r="C778" s="103" t="s">
        <v>7</v>
      </c>
      <c r="D778" s="103" t="s">
        <v>109</v>
      </c>
      <c r="E778" s="103" t="s">
        <v>8</v>
      </c>
      <c r="F778" s="103" t="s">
        <v>9</v>
      </c>
      <c r="G778" s="103" t="s">
        <v>0</v>
      </c>
      <c r="H778" s="50"/>
      <c r="L778" s="30">
        <v>45249</v>
      </c>
    </row>
    <row r="779" spans="1:12" ht="15" hidden="1" customHeight="1" x14ac:dyDescent="0.3">
      <c r="A779" s="114">
        <v>45170</v>
      </c>
      <c r="D779" s="28">
        <v>407100</v>
      </c>
      <c r="E779" s="28">
        <v>407100</v>
      </c>
      <c r="F779" s="28">
        <v>81443</v>
      </c>
      <c r="G779" s="35">
        <v>325657</v>
      </c>
      <c r="L779" s="30">
        <v>45250</v>
      </c>
    </row>
    <row r="780" spans="1:12" ht="15" hidden="1" customHeight="1" x14ac:dyDescent="0.3">
      <c r="A780" s="114">
        <v>45171</v>
      </c>
      <c r="D780" s="28">
        <v>300800</v>
      </c>
      <c r="E780" s="28">
        <v>300800</v>
      </c>
      <c r="F780" s="28">
        <v>18362</v>
      </c>
      <c r="G780" s="35">
        <v>282438</v>
      </c>
      <c r="L780" s="30">
        <v>45251</v>
      </c>
    </row>
    <row r="781" spans="1:12" ht="15" hidden="1" customHeight="1" x14ac:dyDescent="0.3">
      <c r="A781" s="114">
        <v>45172</v>
      </c>
      <c r="E781" s="28">
        <v>0</v>
      </c>
      <c r="F781" s="28">
        <v>69301</v>
      </c>
      <c r="G781" s="35">
        <v>-69301</v>
      </c>
      <c r="L781" s="30">
        <v>45252</v>
      </c>
    </row>
    <row r="782" spans="1:12" ht="15" hidden="1" customHeight="1" x14ac:dyDescent="0.3">
      <c r="A782" s="114">
        <v>45173</v>
      </c>
      <c r="D782" s="28">
        <v>184700</v>
      </c>
      <c r="E782" s="28">
        <v>184700</v>
      </c>
      <c r="F782" s="28">
        <v>81234</v>
      </c>
      <c r="G782" s="35">
        <v>103466</v>
      </c>
      <c r="L782" s="30">
        <v>45253</v>
      </c>
    </row>
    <row r="783" spans="1:12" ht="15" hidden="1" customHeight="1" x14ac:dyDescent="0.3">
      <c r="A783" s="114">
        <v>45174</v>
      </c>
      <c r="E783" s="28">
        <v>0</v>
      </c>
      <c r="F783" s="28">
        <v>370850</v>
      </c>
      <c r="G783" s="35">
        <v>-370850</v>
      </c>
      <c r="H783" s="54" t="s">
        <v>192</v>
      </c>
      <c r="L783" s="30">
        <v>45254</v>
      </c>
    </row>
    <row r="784" spans="1:12" ht="15" hidden="1" customHeight="1" x14ac:dyDescent="0.3">
      <c r="A784" s="114">
        <v>45175</v>
      </c>
      <c r="E784" s="28">
        <v>0</v>
      </c>
      <c r="F784" s="28">
        <v>174318</v>
      </c>
      <c r="G784" s="35">
        <v>-174318</v>
      </c>
      <c r="L784" s="30">
        <v>45255</v>
      </c>
    </row>
    <row r="785" spans="1:12" ht="15" hidden="1" customHeight="1" x14ac:dyDescent="0.3">
      <c r="A785" s="114">
        <v>45176</v>
      </c>
      <c r="D785" s="28">
        <v>103500</v>
      </c>
      <c r="E785" s="28">
        <v>103500</v>
      </c>
      <c r="F785" s="28">
        <v>141499</v>
      </c>
      <c r="G785" s="35">
        <v>-37999</v>
      </c>
      <c r="L785" s="30">
        <v>45256</v>
      </c>
    </row>
    <row r="786" spans="1:12" ht="15" hidden="1" customHeight="1" x14ac:dyDescent="0.3">
      <c r="A786" s="114">
        <v>45177</v>
      </c>
      <c r="E786" s="28">
        <v>0</v>
      </c>
      <c r="F786" s="28">
        <v>85466</v>
      </c>
      <c r="G786" s="35">
        <v>-85466</v>
      </c>
      <c r="L786" s="30">
        <v>45257</v>
      </c>
    </row>
    <row r="787" spans="1:12" ht="15" hidden="1" customHeight="1" x14ac:dyDescent="0.3">
      <c r="A787" s="114">
        <v>45178</v>
      </c>
      <c r="D787" s="28">
        <v>129500</v>
      </c>
      <c r="E787" s="28">
        <v>129500</v>
      </c>
      <c r="F787" s="28">
        <v>64164</v>
      </c>
      <c r="G787" s="35">
        <v>65336</v>
      </c>
      <c r="H787" s="54" t="s">
        <v>193</v>
      </c>
      <c r="L787" s="30">
        <v>45258</v>
      </c>
    </row>
    <row r="788" spans="1:12" ht="15" hidden="1" customHeight="1" x14ac:dyDescent="0.3">
      <c r="A788" s="114">
        <v>45179</v>
      </c>
      <c r="D788" s="28">
        <v>98000</v>
      </c>
      <c r="E788" s="28">
        <v>98000</v>
      </c>
      <c r="F788" s="28">
        <v>11580</v>
      </c>
      <c r="G788" s="35">
        <v>86420</v>
      </c>
      <c r="L788" s="30">
        <v>45259</v>
      </c>
    </row>
    <row r="789" spans="1:12" ht="15" hidden="1" customHeight="1" x14ac:dyDescent="0.3">
      <c r="A789" s="114">
        <v>45180</v>
      </c>
      <c r="E789" s="28">
        <v>0</v>
      </c>
      <c r="G789" s="35">
        <v>0</v>
      </c>
      <c r="L789" s="30">
        <v>45260</v>
      </c>
    </row>
    <row r="790" spans="1:12" ht="15" hidden="1" customHeight="1" x14ac:dyDescent="0.3">
      <c r="A790" s="114">
        <v>45181</v>
      </c>
      <c r="E790" s="28">
        <v>0</v>
      </c>
      <c r="F790" s="28">
        <v>232679</v>
      </c>
      <c r="G790" s="35">
        <v>-232679</v>
      </c>
      <c r="L790" s="30">
        <v>45261</v>
      </c>
    </row>
    <row r="791" spans="1:12" ht="15" hidden="1" customHeight="1" x14ac:dyDescent="0.3">
      <c r="A791" s="114">
        <v>45182</v>
      </c>
      <c r="D791" s="28">
        <v>50000</v>
      </c>
      <c r="E791" s="28">
        <v>50000</v>
      </c>
      <c r="F791" s="28">
        <v>110200</v>
      </c>
      <c r="G791" s="35">
        <v>-60200</v>
      </c>
    </row>
    <row r="792" spans="1:12" ht="15" hidden="1" customHeight="1" x14ac:dyDescent="0.3">
      <c r="A792" s="114">
        <v>45183</v>
      </c>
      <c r="D792" s="28">
        <v>410940</v>
      </c>
      <c r="E792" s="28">
        <v>410940</v>
      </c>
      <c r="F792" s="28">
        <v>193622</v>
      </c>
      <c r="G792" s="35">
        <v>217318</v>
      </c>
    </row>
    <row r="793" spans="1:12" ht="15" hidden="1" customHeight="1" x14ac:dyDescent="0.3">
      <c r="A793" s="114">
        <v>45184</v>
      </c>
      <c r="D793" s="28">
        <v>628100</v>
      </c>
      <c r="E793" s="28">
        <v>628100</v>
      </c>
      <c r="F793" s="28">
        <v>111947</v>
      </c>
      <c r="G793" s="35">
        <v>516153</v>
      </c>
    </row>
    <row r="794" spans="1:12" ht="15" hidden="1" customHeight="1" x14ac:dyDescent="0.3">
      <c r="A794" s="114">
        <v>45185</v>
      </c>
      <c r="D794" s="28">
        <v>330500</v>
      </c>
      <c r="E794" s="28">
        <v>330500</v>
      </c>
      <c r="F794" s="28">
        <v>4710</v>
      </c>
      <c r="G794" s="35">
        <v>325790</v>
      </c>
    </row>
    <row r="795" spans="1:12" ht="15" hidden="1" customHeight="1" x14ac:dyDescent="0.3">
      <c r="A795" s="114">
        <v>45186</v>
      </c>
      <c r="D795" s="28">
        <v>827400</v>
      </c>
      <c r="E795" s="28">
        <v>827400</v>
      </c>
      <c r="F795" s="28">
        <v>108427</v>
      </c>
      <c r="G795" s="35">
        <v>718973</v>
      </c>
    </row>
    <row r="796" spans="1:12" ht="15" hidden="1" customHeight="1" x14ac:dyDescent="0.3">
      <c r="A796" s="114">
        <v>45187</v>
      </c>
      <c r="E796" s="28">
        <v>0</v>
      </c>
      <c r="G796" s="35">
        <v>0</v>
      </c>
    </row>
    <row r="797" spans="1:12" ht="15" hidden="1" customHeight="1" x14ac:dyDescent="0.3">
      <c r="A797" s="114">
        <v>45188</v>
      </c>
      <c r="E797" s="28">
        <v>0</v>
      </c>
      <c r="F797" s="28">
        <v>50000</v>
      </c>
      <c r="G797" s="35">
        <v>-50000</v>
      </c>
    </row>
    <row r="798" spans="1:12" ht="15" hidden="1" customHeight="1" x14ac:dyDescent="0.3">
      <c r="A798" s="114">
        <v>45189</v>
      </c>
      <c r="D798" s="28">
        <v>132000</v>
      </c>
      <c r="E798" s="28">
        <v>132000</v>
      </c>
      <c r="F798" s="28">
        <v>154667</v>
      </c>
      <c r="G798" s="35">
        <v>-22667</v>
      </c>
      <c r="H798" s="54" t="s">
        <v>186</v>
      </c>
    </row>
    <row r="799" spans="1:12" ht="15" hidden="1" customHeight="1" x14ac:dyDescent="0.3">
      <c r="A799" s="114">
        <v>45190</v>
      </c>
      <c r="E799" s="28">
        <v>0</v>
      </c>
      <c r="F799" s="28">
        <v>7382</v>
      </c>
      <c r="G799" s="35">
        <v>-7382</v>
      </c>
    </row>
    <row r="800" spans="1:12" ht="15" hidden="1" customHeight="1" x14ac:dyDescent="0.3">
      <c r="A800" s="114">
        <v>45191</v>
      </c>
      <c r="D800" s="28">
        <v>42900</v>
      </c>
      <c r="E800" s="28">
        <v>42900</v>
      </c>
      <c r="F800" s="28">
        <v>35614</v>
      </c>
      <c r="G800" s="35">
        <v>7286</v>
      </c>
    </row>
    <row r="801" spans="1:8" ht="15" hidden="1" customHeight="1" x14ac:dyDescent="0.3">
      <c r="A801" s="114">
        <v>45192</v>
      </c>
      <c r="D801" s="28">
        <v>236000</v>
      </c>
      <c r="E801" s="28">
        <v>236000</v>
      </c>
      <c r="G801" s="35">
        <v>236000</v>
      </c>
      <c r="H801" s="54" t="s">
        <v>194</v>
      </c>
    </row>
    <row r="802" spans="1:8" ht="15" hidden="1" customHeight="1" x14ac:dyDescent="0.3">
      <c r="A802" s="114">
        <v>45193</v>
      </c>
      <c r="E802" s="28">
        <v>0</v>
      </c>
      <c r="G802" s="35">
        <v>0</v>
      </c>
      <c r="H802" s="54" t="s">
        <v>195</v>
      </c>
    </row>
    <row r="803" spans="1:8" ht="15" hidden="1" customHeight="1" x14ac:dyDescent="0.3">
      <c r="A803" s="114">
        <v>45194</v>
      </c>
      <c r="E803" s="28">
        <v>0</v>
      </c>
      <c r="F803" s="28">
        <v>30128</v>
      </c>
      <c r="G803" s="35">
        <v>-30128</v>
      </c>
      <c r="H803" s="54" t="s">
        <v>196</v>
      </c>
    </row>
    <row r="804" spans="1:8" ht="15" hidden="1" customHeight="1" x14ac:dyDescent="0.3">
      <c r="A804" s="114">
        <v>45195</v>
      </c>
      <c r="E804" s="28">
        <v>0</v>
      </c>
      <c r="F804" s="28">
        <v>5626</v>
      </c>
      <c r="G804" s="35">
        <v>-5626</v>
      </c>
      <c r="H804" s="54" t="s">
        <v>197</v>
      </c>
    </row>
    <row r="805" spans="1:8" ht="15" hidden="1" customHeight="1" x14ac:dyDescent="0.3">
      <c r="A805" s="114">
        <v>45196</v>
      </c>
      <c r="D805" s="28">
        <v>159964</v>
      </c>
      <c r="E805" s="28">
        <v>159964</v>
      </c>
      <c r="F805" s="28">
        <v>154173</v>
      </c>
      <c r="G805" s="35">
        <v>5791</v>
      </c>
      <c r="H805" s="54" t="s">
        <v>199</v>
      </c>
    </row>
    <row r="806" spans="1:8" ht="15" hidden="1" customHeight="1" x14ac:dyDescent="0.3">
      <c r="A806" s="114">
        <v>45197</v>
      </c>
      <c r="E806" s="28">
        <v>0</v>
      </c>
      <c r="G806" s="35">
        <v>0</v>
      </c>
      <c r="H806" s="54" t="s">
        <v>201</v>
      </c>
    </row>
    <row r="807" spans="1:8" ht="15" hidden="1" customHeight="1" x14ac:dyDescent="0.3">
      <c r="A807" s="114">
        <v>45198</v>
      </c>
      <c r="D807" s="28">
        <v>50500</v>
      </c>
      <c r="E807" s="28">
        <v>50500</v>
      </c>
      <c r="F807" s="28">
        <v>21950</v>
      </c>
      <c r="G807" s="35">
        <v>28550</v>
      </c>
      <c r="H807" s="54" t="s">
        <v>200</v>
      </c>
    </row>
    <row r="808" spans="1:8" ht="15" hidden="1" customHeight="1" x14ac:dyDescent="0.3">
      <c r="A808" s="114">
        <v>45199</v>
      </c>
      <c r="E808" s="28">
        <v>0</v>
      </c>
      <c r="G808" s="35">
        <v>0</v>
      </c>
      <c r="H808" s="54" t="s">
        <v>198</v>
      </c>
    </row>
    <row r="809" spans="1:8" ht="15" hidden="1" customHeight="1" x14ac:dyDescent="0.3">
      <c r="A809" s="114">
        <v>45200</v>
      </c>
      <c r="E809" s="28">
        <v>0</v>
      </c>
      <c r="G809" s="35">
        <v>0</v>
      </c>
    </row>
    <row r="810" spans="1:8" ht="15" hidden="1" customHeight="1" x14ac:dyDescent="0.3">
      <c r="A810" s="118" t="s">
        <v>39</v>
      </c>
      <c r="B810" s="28">
        <v>0</v>
      </c>
      <c r="C810" s="28">
        <v>0</v>
      </c>
      <c r="D810" s="28">
        <v>4091904</v>
      </c>
      <c r="E810" s="28">
        <v>4091904</v>
      </c>
      <c r="F810" s="28">
        <v>2319342</v>
      </c>
      <c r="G810" s="35">
        <v>1772562</v>
      </c>
    </row>
    <row r="811" spans="1:8" ht="15" hidden="1" customHeight="1" thickBot="1" x14ac:dyDescent="0.35"/>
    <row r="812" spans="1:8" ht="15" hidden="1" customHeight="1" thickBot="1" x14ac:dyDescent="0.35">
      <c r="A812" s="113" t="s">
        <v>4</v>
      </c>
      <c r="B812" s="103" t="s">
        <v>6</v>
      </c>
      <c r="C812" s="103" t="s">
        <v>7</v>
      </c>
      <c r="D812" s="103" t="s">
        <v>109</v>
      </c>
      <c r="E812" s="103" t="s">
        <v>8</v>
      </c>
      <c r="F812" s="103" t="s">
        <v>9</v>
      </c>
      <c r="G812" s="103" t="s">
        <v>0</v>
      </c>
    </row>
    <row r="813" spans="1:8" ht="15" hidden="1" customHeight="1" x14ac:dyDescent="0.3">
      <c r="A813" s="114">
        <v>45139</v>
      </c>
      <c r="E813" s="28">
        <v>0</v>
      </c>
      <c r="F813" s="28">
        <v>49034</v>
      </c>
      <c r="G813" s="35">
        <f>E813-F813</f>
        <v>-49034</v>
      </c>
      <c r="H813" s="23" t="s">
        <v>184</v>
      </c>
    </row>
    <row r="814" spans="1:8" ht="15" hidden="1" customHeight="1" x14ac:dyDescent="0.3">
      <c r="A814" s="114">
        <v>45140</v>
      </c>
      <c r="D814" s="28">
        <v>1000000</v>
      </c>
      <c r="E814" s="28">
        <v>1000000</v>
      </c>
      <c r="F814" s="28">
        <v>215413</v>
      </c>
      <c r="G814" s="35">
        <f t="shared" ref="G814:G843" si="52">E814-F814</f>
        <v>784587</v>
      </c>
      <c r="H814" s="23"/>
    </row>
    <row r="815" spans="1:8" ht="15" hidden="1" customHeight="1" x14ac:dyDescent="0.3">
      <c r="A815" s="114">
        <v>45141</v>
      </c>
      <c r="E815" s="28">
        <v>0</v>
      </c>
      <c r="F815" s="28">
        <v>15000</v>
      </c>
      <c r="G815" s="35">
        <f t="shared" si="52"/>
        <v>-15000</v>
      </c>
      <c r="H815" s="23"/>
    </row>
    <row r="816" spans="1:8" ht="15" hidden="1" customHeight="1" x14ac:dyDescent="0.3">
      <c r="A816" s="114">
        <v>45142</v>
      </c>
      <c r="E816" s="28">
        <v>0</v>
      </c>
      <c r="F816" s="28">
        <v>214087</v>
      </c>
      <c r="G816" s="35">
        <f t="shared" si="52"/>
        <v>-214087</v>
      </c>
      <c r="H816" s="23"/>
    </row>
    <row r="817" spans="1:8" ht="15" hidden="1" customHeight="1" x14ac:dyDescent="0.3">
      <c r="A817" s="114">
        <v>45143</v>
      </c>
      <c r="D817" s="28">
        <v>217675</v>
      </c>
      <c r="E817" s="28">
        <v>217675</v>
      </c>
      <c r="F817" s="28">
        <v>56000</v>
      </c>
      <c r="G817" s="35">
        <f t="shared" si="52"/>
        <v>161675</v>
      </c>
      <c r="H817" s="23"/>
    </row>
    <row r="818" spans="1:8" ht="15" hidden="1" customHeight="1" x14ac:dyDescent="0.3">
      <c r="A818" s="114">
        <v>45144</v>
      </c>
      <c r="D818" s="28">
        <v>281925</v>
      </c>
      <c r="E818" s="28">
        <v>281925</v>
      </c>
      <c r="F818" s="28">
        <v>123173</v>
      </c>
      <c r="G818" s="35">
        <f t="shared" si="52"/>
        <v>158752</v>
      </c>
      <c r="H818" s="23"/>
    </row>
    <row r="819" spans="1:8" ht="15" hidden="1" customHeight="1" x14ac:dyDescent="0.3">
      <c r="A819" s="114">
        <v>45145</v>
      </c>
      <c r="E819" s="28">
        <v>0</v>
      </c>
      <c r="F819" s="28">
        <v>45600</v>
      </c>
      <c r="G819" s="35">
        <f t="shared" si="52"/>
        <v>-45600</v>
      </c>
      <c r="H819" s="23"/>
    </row>
    <row r="820" spans="1:8" ht="15" hidden="1" customHeight="1" x14ac:dyDescent="0.3">
      <c r="A820" s="114">
        <v>45146</v>
      </c>
      <c r="D820" s="28">
        <v>60000</v>
      </c>
      <c r="E820" s="28">
        <v>60000</v>
      </c>
      <c r="F820" s="28">
        <v>79003</v>
      </c>
      <c r="G820" s="35">
        <f t="shared" si="52"/>
        <v>-19003</v>
      </c>
      <c r="H820" s="23" t="s">
        <v>187</v>
      </c>
    </row>
    <row r="821" spans="1:8" ht="15" hidden="1" customHeight="1" x14ac:dyDescent="0.3">
      <c r="A821" s="114">
        <v>45147</v>
      </c>
      <c r="E821" s="28">
        <v>0</v>
      </c>
      <c r="G821" s="35">
        <f t="shared" si="52"/>
        <v>0</v>
      </c>
      <c r="H821" s="23"/>
    </row>
    <row r="822" spans="1:8" ht="15" hidden="1" customHeight="1" x14ac:dyDescent="0.3">
      <c r="A822" s="114">
        <v>45148</v>
      </c>
      <c r="E822" s="28">
        <v>0</v>
      </c>
      <c r="G822" s="35">
        <f t="shared" si="52"/>
        <v>0</v>
      </c>
      <c r="H822" s="23"/>
    </row>
    <row r="823" spans="1:8" ht="15" hidden="1" customHeight="1" x14ac:dyDescent="0.3">
      <c r="A823" s="114">
        <v>45149</v>
      </c>
      <c r="D823" s="28">
        <v>102000</v>
      </c>
      <c r="E823" s="28">
        <v>102000</v>
      </c>
      <c r="F823" s="28">
        <v>30130</v>
      </c>
      <c r="G823" s="35">
        <f t="shared" si="52"/>
        <v>71870</v>
      </c>
      <c r="H823" s="23" t="s">
        <v>183</v>
      </c>
    </row>
    <row r="824" spans="1:8" ht="15" hidden="1" customHeight="1" x14ac:dyDescent="0.3">
      <c r="A824" s="114">
        <v>45150</v>
      </c>
      <c r="E824" s="28">
        <v>0</v>
      </c>
      <c r="F824" s="28">
        <v>35698</v>
      </c>
      <c r="G824" s="35">
        <f t="shared" si="52"/>
        <v>-35698</v>
      </c>
      <c r="H824" s="23"/>
    </row>
    <row r="825" spans="1:8" ht="15" hidden="1" customHeight="1" x14ac:dyDescent="0.3">
      <c r="A825" s="114">
        <v>45151</v>
      </c>
      <c r="E825" s="28">
        <v>0</v>
      </c>
      <c r="G825" s="35">
        <f t="shared" si="52"/>
        <v>0</v>
      </c>
      <c r="H825" s="23"/>
    </row>
    <row r="826" spans="1:8" ht="15" hidden="1" customHeight="1" x14ac:dyDescent="0.3">
      <c r="A826" s="114">
        <v>45152</v>
      </c>
      <c r="E826" s="28">
        <v>0</v>
      </c>
      <c r="F826" s="28">
        <v>90296</v>
      </c>
      <c r="G826" s="35">
        <f t="shared" si="52"/>
        <v>-90296</v>
      </c>
      <c r="H826" s="23"/>
    </row>
    <row r="827" spans="1:8" ht="15" hidden="1" customHeight="1" x14ac:dyDescent="0.3">
      <c r="A827" s="114">
        <v>45153</v>
      </c>
      <c r="E827" s="28">
        <v>0</v>
      </c>
      <c r="F827" s="28">
        <v>10990</v>
      </c>
      <c r="G827" s="35">
        <f t="shared" si="52"/>
        <v>-10990</v>
      </c>
      <c r="H827" s="23"/>
    </row>
    <row r="828" spans="1:8" ht="15" hidden="1" customHeight="1" x14ac:dyDescent="0.3">
      <c r="A828" s="114">
        <v>45154</v>
      </c>
      <c r="D828" s="28">
        <v>1000000</v>
      </c>
      <c r="E828" s="28">
        <v>1000000</v>
      </c>
      <c r="F828" s="28">
        <v>169250</v>
      </c>
      <c r="G828" s="35">
        <f t="shared" si="52"/>
        <v>830750</v>
      </c>
      <c r="H828" s="56"/>
    </row>
    <row r="829" spans="1:8" ht="15" hidden="1" customHeight="1" x14ac:dyDescent="0.3">
      <c r="A829" s="114">
        <v>45155</v>
      </c>
      <c r="D829" s="28">
        <v>480000</v>
      </c>
      <c r="E829" s="28">
        <v>480000</v>
      </c>
      <c r="F829" s="28">
        <v>25558</v>
      </c>
      <c r="G829" s="35">
        <f t="shared" si="52"/>
        <v>454442</v>
      </c>
      <c r="H829" s="23"/>
    </row>
    <row r="830" spans="1:8" ht="15" hidden="1" customHeight="1" x14ac:dyDescent="0.3">
      <c r="A830" s="114">
        <v>45156</v>
      </c>
      <c r="E830" s="28">
        <v>0</v>
      </c>
      <c r="F830" s="28">
        <v>36408</v>
      </c>
      <c r="G830" s="35">
        <f t="shared" si="52"/>
        <v>-36408</v>
      </c>
      <c r="H830" s="23" t="s">
        <v>188</v>
      </c>
    </row>
    <row r="831" spans="1:8" ht="15" hidden="1" customHeight="1" x14ac:dyDescent="0.3">
      <c r="A831" s="114">
        <v>45157</v>
      </c>
      <c r="E831" s="28">
        <v>0</v>
      </c>
      <c r="F831" s="28">
        <v>7380</v>
      </c>
      <c r="G831" s="35">
        <f t="shared" si="52"/>
        <v>-7380</v>
      </c>
      <c r="H831" s="23"/>
    </row>
    <row r="832" spans="1:8" ht="15" hidden="1" customHeight="1" x14ac:dyDescent="0.3">
      <c r="A832" s="114">
        <v>45158</v>
      </c>
      <c r="D832" s="28">
        <v>96000</v>
      </c>
      <c r="E832" s="28">
        <v>96000</v>
      </c>
      <c r="G832" s="35">
        <f t="shared" si="52"/>
        <v>96000</v>
      </c>
      <c r="H832" s="23" t="s">
        <v>173</v>
      </c>
    </row>
    <row r="833" spans="1:8" ht="15" hidden="1" customHeight="1" x14ac:dyDescent="0.3">
      <c r="A833" s="114">
        <v>45159</v>
      </c>
      <c r="D833" s="28">
        <v>33000</v>
      </c>
      <c r="E833" s="28">
        <v>33000</v>
      </c>
      <c r="F833" s="28">
        <v>14910</v>
      </c>
      <c r="G833" s="35">
        <f t="shared" si="52"/>
        <v>18090</v>
      </c>
      <c r="H833" s="23" t="s">
        <v>97</v>
      </c>
    </row>
    <row r="834" spans="1:8" ht="15" hidden="1" customHeight="1" x14ac:dyDescent="0.3">
      <c r="A834" s="114">
        <v>45160</v>
      </c>
      <c r="E834" s="28">
        <v>0</v>
      </c>
      <c r="F834" s="28">
        <v>120424</v>
      </c>
      <c r="G834" s="35">
        <f t="shared" si="52"/>
        <v>-120424</v>
      </c>
      <c r="H834" s="90" t="s">
        <v>185</v>
      </c>
    </row>
    <row r="835" spans="1:8" ht="15" hidden="1" customHeight="1" x14ac:dyDescent="0.3">
      <c r="A835" s="114">
        <v>45161</v>
      </c>
      <c r="E835" s="28">
        <v>0</v>
      </c>
      <c r="F835" s="28">
        <v>107620</v>
      </c>
      <c r="G835" s="35">
        <f t="shared" si="52"/>
        <v>-107620</v>
      </c>
      <c r="H835" s="23" t="s">
        <v>187</v>
      </c>
    </row>
    <row r="836" spans="1:8" ht="15" hidden="1" customHeight="1" x14ac:dyDescent="0.3">
      <c r="A836" s="114">
        <v>45162</v>
      </c>
      <c r="D836" s="28">
        <v>207000</v>
      </c>
      <c r="E836" s="28">
        <v>207000</v>
      </c>
      <c r="F836" s="28">
        <v>134142</v>
      </c>
      <c r="G836" s="35">
        <f t="shared" si="52"/>
        <v>72858</v>
      </c>
      <c r="H836" s="23"/>
    </row>
    <row r="837" spans="1:8" ht="15" hidden="1" customHeight="1" x14ac:dyDescent="0.3">
      <c r="A837" s="114">
        <v>45163</v>
      </c>
      <c r="E837" s="28">
        <v>0</v>
      </c>
      <c r="F837" s="28">
        <v>26974</v>
      </c>
      <c r="G837" s="35">
        <f t="shared" si="52"/>
        <v>-26974</v>
      </c>
      <c r="H837" s="23" t="s">
        <v>189</v>
      </c>
    </row>
    <row r="838" spans="1:8" ht="15" hidden="1" customHeight="1" x14ac:dyDescent="0.3">
      <c r="A838" s="114">
        <v>45164</v>
      </c>
      <c r="E838" s="28">
        <v>0</v>
      </c>
      <c r="F838" s="28">
        <v>90610</v>
      </c>
      <c r="G838" s="35">
        <f t="shared" si="52"/>
        <v>-90610</v>
      </c>
      <c r="H838" s="23" t="s">
        <v>190</v>
      </c>
    </row>
    <row r="839" spans="1:8" ht="15" hidden="1" customHeight="1" x14ac:dyDescent="0.3">
      <c r="A839" s="114">
        <v>45165</v>
      </c>
      <c r="D839" s="28">
        <v>28000</v>
      </c>
      <c r="E839" s="28">
        <v>28000</v>
      </c>
      <c r="G839" s="35">
        <f t="shared" si="52"/>
        <v>28000</v>
      </c>
      <c r="H839" s="23"/>
    </row>
    <row r="840" spans="1:8" ht="15" hidden="1" customHeight="1" x14ac:dyDescent="0.3">
      <c r="A840" s="114">
        <v>45166</v>
      </c>
      <c r="E840" s="28">
        <v>0</v>
      </c>
      <c r="F840" s="28">
        <v>48140</v>
      </c>
      <c r="G840" s="35">
        <f t="shared" si="52"/>
        <v>-48140</v>
      </c>
      <c r="H840" s="23" t="s">
        <v>186</v>
      </c>
    </row>
    <row r="841" spans="1:8" ht="15" hidden="1" customHeight="1" x14ac:dyDescent="0.3">
      <c r="A841" s="114">
        <v>45167</v>
      </c>
      <c r="D841" s="28">
        <v>14000</v>
      </c>
      <c r="E841" s="28">
        <v>14000</v>
      </c>
      <c r="F841" s="28">
        <v>54918</v>
      </c>
      <c r="G841" s="35">
        <f t="shared" si="52"/>
        <v>-40918</v>
      </c>
      <c r="H841" s="23"/>
    </row>
    <row r="842" spans="1:8" ht="15" hidden="1" customHeight="1" x14ac:dyDescent="0.3">
      <c r="A842" s="114">
        <v>45168</v>
      </c>
      <c r="E842" s="28">
        <v>0</v>
      </c>
      <c r="F842" s="28">
        <v>108299</v>
      </c>
      <c r="G842" s="35">
        <f t="shared" si="52"/>
        <v>-108299</v>
      </c>
      <c r="H842" s="23"/>
    </row>
    <row r="843" spans="1:8" ht="15" hidden="1" customHeight="1" x14ac:dyDescent="0.3">
      <c r="A843" s="114">
        <v>45169</v>
      </c>
      <c r="E843" s="28">
        <v>0</v>
      </c>
      <c r="F843" s="28">
        <v>88731</v>
      </c>
      <c r="G843" s="35">
        <f t="shared" si="52"/>
        <v>-88731</v>
      </c>
      <c r="H843" s="23"/>
    </row>
    <row r="844" spans="1:8" ht="15" hidden="1" customHeight="1" x14ac:dyDescent="0.3">
      <c r="A844" s="118" t="s">
        <v>38</v>
      </c>
      <c r="B844" s="28">
        <v>0</v>
      </c>
      <c r="C844" s="28">
        <v>0</v>
      </c>
      <c r="D844" s="28">
        <f>SUM(D813:D843)</f>
        <v>3519600</v>
      </c>
      <c r="E844" s="28">
        <f>SUM(E813:E843)</f>
        <v>3519600</v>
      </c>
      <c r="F844" s="28">
        <f>SUM(F813:F843)</f>
        <v>1997788</v>
      </c>
      <c r="G844" s="28">
        <f>SUM(G813:G843)</f>
        <v>1521812</v>
      </c>
    </row>
    <row r="845" spans="1:8" ht="15" hidden="1" customHeight="1" thickBot="1" x14ac:dyDescent="0.35"/>
    <row r="846" spans="1:8" ht="15" hidden="1" customHeight="1" thickBot="1" x14ac:dyDescent="0.35">
      <c r="A846" s="113" t="s">
        <v>4</v>
      </c>
      <c r="B846" s="103" t="s">
        <v>6</v>
      </c>
      <c r="C846" s="103" t="s">
        <v>7</v>
      </c>
      <c r="D846" s="103" t="s">
        <v>109</v>
      </c>
      <c r="E846" s="103" t="s">
        <v>8</v>
      </c>
      <c r="F846" s="103" t="s">
        <v>9</v>
      </c>
      <c r="G846" s="103" t="s">
        <v>0</v>
      </c>
    </row>
    <row r="847" spans="1:8" ht="15" hidden="1" customHeight="1" x14ac:dyDescent="0.3">
      <c r="A847" s="114">
        <v>45108</v>
      </c>
      <c r="D847" s="28">
        <v>209000</v>
      </c>
      <c r="E847" s="28">
        <v>209000</v>
      </c>
      <c r="G847" s="35">
        <v>209000</v>
      </c>
      <c r="H847" s="23" t="s">
        <v>179</v>
      </c>
    </row>
    <row r="848" spans="1:8" ht="15" hidden="1" customHeight="1" x14ac:dyDescent="0.3">
      <c r="A848" s="114">
        <v>45109</v>
      </c>
      <c r="D848" s="28">
        <v>217000</v>
      </c>
      <c r="E848" s="28">
        <v>217000</v>
      </c>
      <c r="F848" s="28">
        <v>93881</v>
      </c>
      <c r="G848" s="35">
        <v>123119</v>
      </c>
      <c r="H848" s="73" t="s">
        <v>178</v>
      </c>
    </row>
    <row r="849" spans="1:8" ht="15" hidden="1" customHeight="1" x14ac:dyDescent="0.3">
      <c r="A849" s="114">
        <v>45110</v>
      </c>
      <c r="E849" s="28">
        <v>0</v>
      </c>
      <c r="G849" s="35">
        <v>0</v>
      </c>
      <c r="H849" s="23"/>
    </row>
    <row r="850" spans="1:8" ht="15" hidden="1" customHeight="1" x14ac:dyDescent="0.3">
      <c r="A850" s="114">
        <v>45111</v>
      </c>
      <c r="D850" s="28">
        <v>100500</v>
      </c>
      <c r="E850" s="28">
        <v>100500</v>
      </c>
      <c r="G850" s="35">
        <v>100500</v>
      </c>
      <c r="H850" s="23"/>
    </row>
    <row r="851" spans="1:8" ht="15" hidden="1" customHeight="1" x14ac:dyDescent="0.3">
      <c r="A851" s="114">
        <v>45112</v>
      </c>
      <c r="E851" s="28">
        <v>0</v>
      </c>
      <c r="F851" s="28">
        <v>42950</v>
      </c>
      <c r="G851" s="35">
        <v>-42950</v>
      </c>
      <c r="H851" s="23"/>
    </row>
    <row r="852" spans="1:8" ht="15" hidden="1" customHeight="1" x14ac:dyDescent="0.3">
      <c r="A852" s="114">
        <v>45113</v>
      </c>
      <c r="E852" s="28">
        <v>0</v>
      </c>
      <c r="F852" s="28">
        <v>35358</v>
      </c>
      <c r="G852" s="35">
        <v>-35358</v>
      </c>
      <c r="H852" s="23"/>
    </row>
    <row r="853" spans="1:8" ht="15" hidden="1" customHeight="1" x14ac:dyDescent="0.3">
      <c r="A853" s="114">
        <v>45114</v>
      </c>
      <c r="E853" s="28">
        <v>0</v>
      </c>
      <c r="G853" s="35">
        <v>0</v>
      </c>
      <c r="H853" s="23"/>
    </row>
    <row r="854" spans="1:8" ht="15" hidden="1" customHeight="1" x14ac:dyDescent="0.3">
      <c r="A854" s="114">
        <v>45115</v>
      </c>
      <c r="D854" s="28">
        <v>154222</v>
      </c>
      <c r="E854" s="28">
        <v>154222</v>
      </c>
      <c r="F854" s="28">
        <v>82762</v>
      </c>
      <c r="G854" s="35">
        <v>71460</v>
      </c>
      <c r="H854" s="23"/>
    </row>
    <row r="855" spans="1:8" ht="15" hidden="1" customHeight="1" x14ac:dyDescent="0.3">
      <c r="A855" s="114">
        <v>45116</v>
      </c>
      <c r="D855" s="28">
        <v>18000</v>
      </c>
      <c r="E855" s="28">
        <v>18000</v>
      </c>
      <c r="F855" s="28">
        <v>80624</v>
      </c>
      <c r="G855" s="35">
        <v>-62624</v>
      </c>
      <c r="H855" s="23" t="s">
        <v>180</v>
      </c>
    </row>
    <row r="856" spans="1:8" ht="15" hidden="1" customHeight="1" x14ac:dyDescent="0.3">
      <c r="A856" s="114">
        <v>45117</v>
      </c>
      <c r="E856" s="28">
        <v>0</v>
      </c>
      <c r="G856" s="35">
        <v>0</v>
      </c>
      <c r="H856" s="23"/>
    </row>
    <row r="857" spans="1:8" ht="15" hidden="1" customHeight="1" x14ac:dyDescent="0.3">
      <c r="A857" s="114">
        <v>45118</v>
      </c>
      <c r="E857" s="28">
        <v>0</v>
      </c>
      <c r="G857" s="35">
        <v>0</v>
      </c>
      <c r="H857" s="23"/>
    </row>
    <row r="858" spans="1:8" ht="15" hidden="1" customHeight="1" x14ac:dyDescent="0.3">
      <c r="A858" s="114">
        <v>45119</v>
      </c>
      <c r="D858" s="28">
        <v>51000</v>
      </c>
      <c r="E858" s="28">
        <v>51000</v>
      </c>
      <c r="F858" s="28">
        <v>31140</v>
      </c>
      <c r="G858" s="35">
        <v>19860</v>
      </c>
      <c r="H858" s="23" t="s">
        <v>181</v>
      </c>
    </row>
    <row r="859" spans="1:8" ht="15" hidden="1" customHeight="1" x14ac:dyDescent="0.3">
      <c r="A859" s="114">
        <v>45120</v>
      </c>
      <c r="E859" s="28">
        <v>0</v>
      </c>
      <c r="G859" s="35">
        <v>0</v>
      </c>
      <c r="H859" s="23"/>
    </row>
    <row r="860" spans="1:8" ht="15" hidden="1" customHeight="1" x14ac:dyDescent="0.3">
      <c r="A860" s="114">
        <v>45121</v>
      </c>
      <c r="D860" s="28">
        <v>170800</v>
      </c>
      <c r="E860" s="28">
        <v>170800</v>
      </c>
      <c r="F860" s="28">
        <v>30030</v>
      </c>
      <c r="G860" s="35">
        <v>140770</v>
      </c>
      <c r="H860" s="23"/>
    </row>
    <row r="861" spans="1:8" ht="15" hidden="1" customHeight="1" x14ac:dyDescent="0.3">
      <c r="A861" s="114">
        <v>45122</v>
      </c>
      <c r="D861" s="28">
        <v>34000</v>
      </c>
      <c r="E861" s="28">
        <v>34000</v>
      </c>
      <c r="F861" s="28">
        <v>84550</v>
      </c>
      <c r="G861" s="35">
        <v>-50550</v>
      </c>
      <c r="H861" s="23"/>
    </row>
    <row r="862" spans="1:8" ht="15" hidden="1" customHeight="1" x14ac:dyDescent="0.3">
      <c r="A862" s="114">
        <v>45123</v>
      </c>
      <c r="D862" s="28">
        <v>218000</v>
      </c>
      <c r="E862" s="28">
        <v>218000</v>
      </c>
      <c r="F862" s="28">
        <v>12000</v>
      </c>
      <c r="G862" s="35">
        <v>206000</v>
      </c>
      <c r="H862" s="56"/>
    </row>
    <row r="863" spans="1:8" ht="15" hidden="1" customHeight="1" x14ac:dyDescent="0.3">
      <c r="A863" s="114">
        <v>45124</v>
      </c>
      <c r="E863" s="28">
        <v>0</v>
      </c>
      <c r="F863" s="28">
        <v>172992</v>
      </c>
      <c r="G863" s="35">
        <v>-172992</v>
      </c>
      <c r="H863" s="23"/>
    </row>
    <row r="864" spans="1:8" ht="15" hidden="1" customHeight="1" x14ac:dyDescent="0.3">
      <c r="A864" s="114">
        <v>45125</v>
      </c>
      <c r="E864" s="28">
        <v>0</v>
      </c>
      <c r="F864" s="28">
        <v>47860</v>
      </c>
      <c r="G864" s="35">
        <v>-47860</v>
      </c>
      <c r="H864" s="23"/>
    </row>
    <row r="865" spans="1:8" ht="15" hidden="1" customHeight="1" x14ac:dyDescent="0.3">
      <c r="A865" s="114">
        <v>45126</v>
      </c>
      <c r="D865" s="28">
        <v>100000</v>
      </c>
      <c r="E865" s="28">
        <v>100000</v>
      </c>
      <c r="F865" s="28">
        <v>100928</v>
      </c>
      <c r="G865" s="35">
        <v>-928</v>
      </c>
      <c r="H865" s="23"/>
    </row>
    <row r="866" spans="1:8" ht="15" hidden="1" customHeight="1" x14ac:dyDescent="0.3">
      <c r="A866" s="114">
        <v>45127</v>
      </c>
      <c r="D866" s="28">
        <v>1158822</v>
      </c>
      <c r="E866" s="28">
        <v>1158822</v>
      </c>
      <c r="F866" s="28">
        <v>184020</v>
      </c>
      <c r="G866" s="35">
        <v>974802</v>
      </c>
      <c r="H866" s="23"/>
    </row>
    <row r="867" spans="1:8" ht="15" hidden="1" customHeight="1" x14ac:dyDescent="0.3">
      <c r="A867" s="114">
        <v>45128</v>
      </c>
      <c r="D867" s="28">
        <v>78000</v>
      </c>
      <c r="E867" s="28">
        <v>78000</v>
      </c>
      <c r="F867" s="28">
        <v>145280</v>
      </c>
      <c r="G867" s="35">
        <v>-67280</v>
      </c>
      <c r="H867" s="23" t="s">
        <v>182</v>
      </c>
    </row>
    <row r="868" spans="1:8" ht="15" hidden="1" customHeight="1" x14ac:dyDescent="0.3">
      <c r="A868" s="114">
        <v>45129</v>
      </c>
      <c r="E868" s="28">
        <v>0</v>
      </c>
      <c r="F868" s="28">
        <v>37950</v>
      </c>
      <c r="G868" s="35">
        <v>-37950</v>
      </c>
      <c r="H868" s="23"/>
    </row>
    <row r="869" spans="1:8" ht="15" hidden="1" customHeight="1" x14ac:dyDescent="0.3">
      <c r="A869" s="114">
        <v>45130</v>
      </c>
      <c r="E869" s="28">
        <v>0</v>
      </c>
      <c r="G869" s="35">
        <v>0</v>
      </c>
      <c r="H869" s="23"/>
    </row>
    <row r="870" spans="1:8" ht="15" hidden="1" customHeight="1" x14ac:dyDescent="0.3">
      <c r="A870" s="114">
        <v>45131</v>
      </c>
      <c r="E870" s="28">
        <v>0</v>
      </c>
      <c r="F870" s="28">
        <v>169329</v>
      </c>
      <c r="G870" s="35">
        <v>-169329</v>
      </c>
      <c r="H870" s="23"/>
    </row>
    <row r="871" spans="1:8" ht="15" hidden="1" customHeight="1" x14ac:dyDescent="0.3">
      <c r="A871" s="114">
        <v>45132</v>
      </c>
      <c r="E871" s="28">
        <v>0</v>
      </c>
      <c r="F871" s="28">
        <v>29970</v>
      </c>
      <c r="G871" s="35">
        <v>-29970</v>
      </c>
    </row>
    <row r="872" spans="1:8" ht="15" hidden="1" customHeight="1" x14ac:dyDescent="0.3">
      <c r="A872" s="114">
        <v>45133</v>
      </c>
      <c r="E872" s="28">
        <v>0</v>
      </c>
      <c r="F872" s="28">
        <v>86452</v>
      </c>
      <c r="G872" s="35">
        <v>-86452</v>
      </c>
    </row>
    <row r="873" spans="1:8" ht="15" hidden="1" customHeight="1" x14ac:dyDescent="0.3">
      <c r="A873" s="114">
        <v>45134</v>
      </c>
      <c r="E873" s="28">
        <v>0</v>
      </c>
      <c r="F873" s="28">
        <v>157384</v>
      </c>
      <c r="G873" s="35">
        <v>-157384</v>
      </c>
    </row>
    <row r="874" spans="1:8" ht="15" hidden="1" customHeight="1" x14ac:dyDescent="0.3">
      <c r="A874" s="114">
        <v>45135</v>
      </c>
      <c r="E874" s="28">
        <v>0</v>
      </c>
      <c r="F874" s="28">
        <v>40973</v>
      </c>
      <c r="G874" s="35">
        <v>-40973</v>
      </c>
    </row>
    <row r="875" spans="1:8" ht="15" hidden="1" customHeight="1" x14ac:dyDescent="0.3">
      <c r="A875" s="114">
        <v>45136</v>
      </c>
      <c r="D875" s="28">
        <v>83000</v>
      </c>
      <c r="E875" s="28">
        <v>83000</v>
      </c>
      <c r="F875" s="28">
        <v>86460</v>
      </c>
      <c r="G875" s="35">
        <v>-3460</v>
      </c>
    </row>
    <row r="876" spans="1:8" ht="15" hidden="1" customHeight="1" x14ac:dyDescent="0.3">
      <c r="A876" s="114">
        <v>45137</v>
      </c>
      <c r="D876" s="28">
        <v>29000</v>
      </c>
      <c r="E876" s="28">
        <v>29000</v>
      </c>
      <c r="G876" s="35">
        <v>29000</v>
      </c>
    </row>
    <row r="877" spans="1:8" ht="15" hidden="1" customHeight="1" x14ac:dyDescent="0.3">
      <c r="A877" s="114">
        <v>45138</v>
      </c>
      <c r="E877" s="28">
        <v>0</v>
      </c>
      <c r="F877" s="28">
        <v>101647</v>
      </c>
      <c r="G877" s="35">
        <v>-101647</v>
      </c>
    </row>
    <row r="878" spans="1:8" ht="15" hidden="1" customHeight="1" x14ac:dyDescent="0.3">
      <c r="A878" s="118" t="s">
        <v>37</v>
      </c>
      <c r="B878" s="28">
        <v>0</v>
      </c>
      <c r="C878" s="28">
        <v>0</v>
      </c>
      <c r="D878" s="28">
        <f>SUM(D847:D877)</f>
        <v>2621344</v>
      </c>
      <c r="E878" s="28">
        <f>SUM(E847:E877)</f>
        <v>2621344</v>
      </c>
      <c r="F878" s="28">
        <f>SUM(F847:F877)</f>
        <v>1854540</v>
      </c>
      <c r="G878" s="35">
        <f>E878-F878</f>
        <v>766804</v>
      </c>
    </row>
    <row r="879" spans="1:8" ht="15" hidden="1" customHeight="1" thickBot="1" x14ac:dyDescent="0.35"/>
    <row r="880" spans="1:8" ht="15" hidden="1" customHeight="1" thickBot="1" x14ac:dyDescent="0.35">
      <c r="A880" s="113" t="s">
        <v>4</v>
      </c>
      <c r="B880" s="103" t="s">
        <v>6</v>
      </c>
      <c r="C880" s="103" t="s">
        <v>7</v>
      </c>
      <c r="D880" s="103" t="s">
        <v>109</v>
      </c>
      <c r="E880" s="103" t="s">
        <v>8</v>
      </c>
      <c r="F880" s="103" t="s">
        <v>9</v>
      </c>
      <c r="G880" s="103" t="s">
        <v>0</v>
      </c>
    </row>
    <row r="881" spans="1:9" ht="15" hidden="1" customHeight="1" x14ac:dyDescent="0.3">
      <c r="A881" s="114">
        <v>45078</v>
      </c>
      <c r="E881" s="28">
        <v>0</v>
      </c>
      <c r="F881" s="28">
        <v>8350</v>
      </c>
      <c r="G881" s="35">
        <f>E881-F881</f>
        <v>-8350</v>
      </c>
      <c r="H881" s="58" t="s">
        <v>175</v>
      </c>
    </row>
    <row r="882" spans="1:9" ht="15" hidden="1" customHeight="1" x14ac:dyDescent="0.3">
      <c r="A882" s="114">
        <v>45079</v>
      </c>
      <c r="E882" s="28">
        <v>0</v>
      </c>
      <c r="F882" s="28">
        <v>265837</v>
      </c>
      <c r="G882" s="35">
        <f t="shared" ref="G882:G911" si="53">E882-F882</f>
        <v>-265837</v>
      </c>
      <c r="H882" s="75"/>
    </row>
    <row r="883" spans="1:9" ht="15" hidden="1" customHeight="1" x14ac:dyDescent="0.3">
      <c r="A883" s="114">
        <v>45080</v>
      </c>
      <c r="D883" s="28">
        <v>1056550</v>
      </c>
      <c r="E883" s="28">
        <v>1056550</v>
      </c>
      <c r="G883" s="35">
        <f t="shared" si="53"/>
        <v>1056550</v>
      </c>
      <c r="H883" s="58"/>
    </row>
    <row r="884" spans="1:9" ht="15" hidden="1" customHeight="1" x14ac:dyDescent="0.3">
      <c r="A884" s="114">
        <v>45081</v>
      </c>
      <c r="E884" s="28">
        <v>0</v>
      </c>
      <c r="G884" s="35">
        <f t="shared" si="53"/>
        <v>0</v>
      </c>
      <c r="H884" s="58"/>
    </row>
    <row r="885" spans="1:9" ht="15" hidden="1" customHeight="1" x14ac:dyDescent="0.3">
      <c r="A885" s="114">
        <v>45082</v>
      </c>
      <c r="E885" s="28">
        <v>0</v>
      </c>
      <c r="F885" s="28">
        <v>104334</v>
      </c>
      <c r="G885" s="35">
        <f t="shared" si="53"/>
        <v>-104334</v>
      </c>
      <c r="H885" s="58"/>
    </row>
    <row r="886" spans="1:9" ht="15" hidden="1" customHeight="1" x14ac:dyDescent="0.3">
      <c r="A886" s="114">
        <v>45083</v>
      </c>
      <c r="C886" s="28">
        <v>595000</v>
      </c>
      <c r="D886" s="28">
        <v>76000</v>
      </c>
      <c r="E886" s="28">
        <v>671000</v>
      </c>
      <c r="F886" s="28">
        <v>18590</v>
      </c>
      <c r="G886" s="35">
        <f t="shared" si="53"/>
        <v>652410</v>
      </c>
      <c r="H886" s="58" t="s">
        <v>172</v>
      </c>
    </row>
    <row r="887" spans="1:9" ht="15" hidden="1" customHeight="1" x14ac:dyDescent="0.3">
      <c r="A887" s="114">
        <v>45084</v>
      </c>
      <c r="E887" s="28">
        <v>0</v>
      </c>
      <c r="G887" s="35">
        <f t="shared" si="53"/>
        <v>0</v>
      </c>
      <c r="H887" s="58"/>
    </row>
    <row r="888" spans="1:9" ht="15" hidden="1" customHeight="1" x14ac:dyDescent="0.3">
      <c r="A888" s="114">
        <v>45085</v>
      </c>
      <c r="D888" s="28">
        <v>68200</v>
      </c>
      <c r="E888" s="28">
        <v>68200</v>
      </c>
      <c r="F888" s="28">
        <v>20000</v>
      </c>
      <c r="G888" s="35">
        <f t="shared" si="53"/>
        <v>48200</v>
      </c>
      <c r="H888" s="58" t="s">
        <v>173</v>
      </c>
    </row>
    <row r="889" spans="1:9" ht="15" hidden="1" customHeight="1" x14ac:dyDescent="0.3">
      <c r="A889" s="114">
        <v>45086</v>
      </c>
      <c r="E889" s="28">
        <v>0</v>
      </c>
      <c r="G889" s="35">
        <f t="shared" si="53"/>
        <v>0</v>
      </c>
      <c r="H889" s="58"/>
      <c r="I889" s="30">
        <v>45261</v>
      </c>
    </row>
    <row r="890" spans="1:9" ht="15" hidden="1" customHeight="1" x14ac:dyDescent="0.3">
      <c r="A890" s="114">
        <v>45087</v>
      </c>
      <c r="E890" s="28">
        <v>0</v>
      </c>
      <c r="F890" s="28">
        <v>14090</v>
      </c>
      <c r="G890" s="35">
        <f t="shared" si="53"/>
        <v>-14090</v>
      </c>
      <c r="H890" s="58"/>
      <c r="I890" s="30">
        <v>45262</v>
      </c>
    </row>
    <row r="891" spans="1:9" ht="15" hidden="1" customHeight="1" x14ac:dyDescent="0.3">
      <c r="A891" s="114">
        <v>45088</v>
      </c>
      <c r="D891" s="28">
        <v>52800</v>
      </c>
      <c r="E891" s="28">
        <v>52800</v>
      </c>
      <c r="F891" s="28">
        <v>23610</v>
      </c>
      <c r="G891" s="35">
        <f t="shared" si="53"/>
        <v>29190</v>
      </c>
      <c r="H891" s="58" t="s">
        <v>174</v>
      </c>
      <c r="I891" s="30">
        <v>45263</v>
      </c>
    </row>
    <row r="892" spans="1:9" ht="15" hidden="1" customHeight="1" x14ac:dyDescent="0.3">
      <c r="A892" s="114">
        <v>45089</v>
      </c>
      <c r="E892" s="28">
        <v>0</v>
      </c>
      <c r="F892" s="28">
        <v>33824</v>
      </c>
      <c r="G892" s="35">
        <f t="shared" si="53"/>
        <v>-33824</v>
      </c>
      <c r="H892" s="58"/>
      <c r="I892" s="30">
        <v>45264</v>
      </c>
    </row>
    <row r="893" spans="1:9" ht="15" hidden="1" customHeight="1" x14ac:dyDescent="0.3">
      <c r="A893" s="114">
        <v>45090</v>
      </c>
      <c r="D893" s="28">
        <v>22000</v>
      </c>
      <c r="E893" s="28">
        <v>22000</v>
      </c>
      <c r="G893" s="35">
        <f t="shared" si="53"/>
        <v>22000</v>
      </c>
      <c r="H893" s="58"/>
      <c r="I893" s="30">
        <v>45205</v>
      </c>
    </row>
    <row r="894" spans="1:9" ht="15" hidden="1" customHeight="1" x14ac:dyDescent="0.3">
      <c r="A894" s="114">
        <v>45091</v>
      </c>
      <c r="E894" s="28">
        <v>0</v>
      </c>
      <c r="G894" s="35">
        <f t="shared" si="53"/>
        <v>0</v>
      </c>
      <c r="H894" s="58"/>
      <c r="I894" s="30">
        <v>45266</v>
      </c>
    </row>
    <row r="895" spans="1:9" ht="15" hidden="1" customHeight="1" x14ac:dyDescent="0.3">
      <c r="A895" s="114">
        <v>45092</v>
      </c>
      <c r="E895" s="28">
        <v>0</v>
      </c>
      <c r="F895" s="28">
        <v>14677</v>
      </c>
      <c r="G895" s="35">
        <f t="shared" si="53"/>
        <v>-14677</v>
      </c>
      <c r="H895" s="58"/>
      <c r="I895" s="30">
        <v>45267</v>
      </c>
    </row>
    <row r="896" spans="1:9" ht="15" hidden="1" customHeight="1" x14ac:dyDescent="0.3">
      <c r="A896" s="114">
        <v>45093</v>
      </c>
      <c r="D896" s="28">
        <v>17000</v>
      </c>
      <c r="E896" s="28">
        <v>17000</v>
      </c>
      <c r="F896" s="28">
        <v>25425</v>
      </c>
      <c r="G896" s="35">
        <f t="shared" si="53"/>
        <v>-8425</v>
      </c>
      <c r="H896" s="76"/>
      <c r="I896" s="30">
        <v>45268</v>
      </c>
    </row>
    <row r="897" spans="1:11" ht="15" hidden="1" customHeight="1" x14ac:dyDescent="0.3">
      <c r="A897" s="114">
        <v>45094</v>
      </c>
      <c r="D897" s="28">
        <v>69850</v>
      </c>
      <c r="E897" s="28">
        <v>69850</v>
      </c>
      <c r="F897" s="28">
        <v>18000</v>
      </c>
      <c r="G897" s="35">
        <f t="shared" si="53"/>
        <v>51850</v>
      </c>
      <c r="H897" s="58"/>
      <c r="I897" s="30">
        <v>45269</v>
      </c>
    </row>
    <row r="898" spans="1:11" ht="15" hidden="1" customHeight="1" x14ac:dyDescent="0.3">
      <c r="A898" s="114">
        <v>45095</v>
      </c>
      <c r="D898" s="28">
        <v>98000</v>
      </c>
      <c r="E898" s="28">
        <v>98000</v>
      </c>
      <c r="F898" s="28">
        <v>63191</v>
      </c>
      <c r="G898" s="35">
        <f t="shared" si="53"/>
        <v>34809</v>
      </c>
      <c r="H898" s="89" t="s">
        <v>177</v>
      </c>
      <c r="I898" s="30">
        <v>45270</v>
      </c>
    </row>
    <row r="899" spans="1:11" ht="15" hidden="1" customHeight="1" x14ac:dyDescent="0.3">
      <c r="A899" s="114">
        <v>45096</v>
      </c>
      <c r="D899" s="28">
        <v>60500</v>
      </c>
      <c r="E899" s="28">
        <v>60500</v>
      </c>
      <c r="F899" s="28">
        <v>25000</v>
      </c>
      <c r="G899" s="35">
        <f t="shared" si="53"/>
        <v>35500</v>
      </c>
      <c r="H899" s="58"/>
      <c r="I899" s="30">
        <v>45271</v>
      </c>
    </row>
    <row r="900" spans="1:11" ht="15" hidden="1" customHeight="1" x14ac:dyDescent="0.3">
      <c r="A900" s="114">
        <v>45097</v>
      </c>
      <c r="E900" s="28">
        <v>0</v>
      </c>
      <c r="F900" s="28">
        <v>64738</v>
      </c>
      <c r="G900" s="35">
        <f t="shared" si="53"/>
        <v>-64738</v>
      </c>
      <c r="H900" s="58"/>
      <c r="I900" s="30">
        <v>45272</v>
      </c>
    </row>
    <row r="901" spans="1:11" ht="15" hidden="1" customHeight="1" x14ac:dyDescent="0.3">
      <c r="A901" s="114">
        <v>45098</v>
      </c>
      <c r="E901" s="28">
        <v>0</v>
      </c>
      <c r="F901" s="28">
        <v>71800</v>
      </c>
      <c r="G901" s="35">
        <f t="shared" si="53"/>
        <v>-71800</v>
      </c>
      <c r="H901" s="58"/>
      <c r="I901" s="30">
        <v>45273</v>
      </c>
    </row>
    <row r="902" spans="1:11" ht="15" hidden="1" customHeight="1" x14ac:dyDescent="0.3">
      <c r="A902" s="114">
        <v>45099</v>
      </c>
      <c r="D902" s="28">
        <v>57000</v>
      </c>
      <c r="E902" s="28">
        <v>57000</v>
      </c>
      <c r="F902" s="28">
        <v>86180</v>
      </c>
      <c r="G902" s="35">
        <f t="shared" si="53"/>
        <v>-29180</v>
      </c>
      <c r="H902" s="58"/>
      <c r="I902" s="30">
        <v>45274</v>
      </c>
    </row>
    <row r="903" spans="1:11" ht="15" hidden="1" customHeight="1" x14ac:dyDescent="0.3">
      <c r="A903" s="114">
        <v>45100</v>
      </c>
      <c r="D903" s="28">
        <v>99500</v>
      </c>
      <c r="E903" s="28">
        <v>99500</v>
      </c>
      <c r="G903" s="35">
        <f t="shared" si="53"/>
        <v>99500</v>
      </c>
      <c r="H903" s="58"/>
      <c r="I903" s="30">
        <v>45275</v>
      </c>
    </row>
    <row r="904" spans="1:11" ht="15" hidden="1" customHeight="1" x14ac:dyDescent="0.3">
      <c r="A904" s="114">
        <v>45101</v>
      </c>
      <c r="D904" s="28">
        <v>54600</v>
      </c>
      <c r="E904" s="28">
        <v>54600</v>
      </c>
      <c r="F904" s="28">
        <v>33580</v>
      </c>
      <c r="G904" s="35">
        <f t="shared" si="53"/>
        <v>21020</v>
      </c>
      <c r="H904" s="58" t="s">
        <v>176</v>
      </c>
      <c r="I904" s="30">
        <v>45276</v>
      </c>
    </row>
    <row r="905" spans="1:11" ht="15" hidden="1" customHeight="1" x14ac:dyDescent="0.3">
      <c r="A905" s="114">
        <v>45102</v>
      </c>
      <c r="D905" s="28">
        <v>155400</v>
      </c>
      <c r="E905" s="28">
        <v>155400</v>
      </c>
      <c r="F905" s="28">
        <v>8692</v>
      </c>
      <c r="G905" s="35">
        <f t="shared" si="53"/>
        <v>146708</v>
      </c>
      <c r="H905" s="58">
        <v>45200</v>
      </c>
      <c r="I905" s="30">
        <v>45277</v>
      </c>
    </row>
    <row r="906" spans="1:11" ht="15" hidden="1" customHeight="1" x14ac:dyDescent="0.3">
      <c r="A906" s="114">
        <v>45103</v>
      </c>
      <c r="E906" s="28">
        <v>0</v>
      </c>
      <c r="F906" s="28">
        <v>62749</v>
      </c>
      <c r="G906" s="35">
        <f t="shared" si="53"/>
        <v>-62749</v>
      </c>
      <c r="H906" s="58">
        <v>45201</v>
      </c>
      <c r="I906" s="30">
        <v>45278</v>
      </c>
    </row>
    <row r="907" spans="1:11" ht="15" hidden="1" customHeight="1" x14ac:dyDescent="0.3">
      <c r="A907" s="114">
        <v>45104</v>
      </c>
      <c r="E907" s="28">
        <v>0</v>
      </c>
      <c r="F907" s="28">
        <v>139435</v>
      </c>
      <c r="G907" s="35">
        <f t="shared" si="53"/>
        <v>-139435</v>
      </c>
      <c r="H907" s="58">
        <v>45202</v>
      </c>
      <c r="I907" s="30">
        <v>45279</v>
      </c>
      <c r="K907" s="44"/>
    </row>
    <row r="908" spans="1:11" ht="15" hidden="1" customHeight="1" x14ac:dyDescent="0.3">
      <c r="A908" s="114">
        <v>45105</v>
      </c>
      <c r="E908" s="28">
        <v>0</v>
      </c>
      <c r="F908" s="28">
        <v>32249</v>
      </c>
      <c r="G908" s="35">
        <f t="shared" si="53"/>
        <v>-32249</v>
      </c>
      <c r="H908" s="58">
        <v>45203</v>
      </c>
      <c r="I908" s="30">
        <v>45280</v>
      </c>
    </row>
    <row r="909" spans="1:11" ht="15" hidden="1" customHeight="1" x14ac:dyDescent="0.3">
      <c r="A909" s="114">
        <v>45106</v>
      </c>
      <c r="D909" s="28">
        <v>188972</v>
      </c>
      <c r="E909" s="28">
        <v>188972</v>
      </c>
      <c r="F909" s="28">
        <v>7119</v>
      </c>
      <c r="G909" s="35">
        <f t="shared" si="53"/>
        <v>181853</v>
      </c>
      <c r="H909" s="58">
        <v>45205</v>
      </c>
      <c r="I909" s="30">
        <v>45281</v>
      </c>
    </row>
    <row r="910" spans="1:11" ht="15" hidden="1" customHeight="1" x14ac:dyDescent="0.3">
      <c r="A910" s="114">
        <v>45107</v>
      </c>
      <c r="D910" s="28">
        <v>159000</v>
      </c>
      <c r="E910" s="28">
        <v>159000</v>
      </c>
      <c r="F910" s="28">
        <f>15815+21348+14490</f>
        <v>51653</v>
      </c>
      <c r="G910" s="35">
        <f t="shared" si="53"/>
        <v>107347</v>
      </c>
      <c r="H910" s="58">
        <v>45205</v>
      </c>
      <c r="I910" s="30">
        <v>45282</v>
      </c>
    </row>
    <row r="911" spans="1:11" ht="15" hidden="1" customHeight="1" x14ac:dyDescent="0.3">
      <c r="A911" s="114">
        <v>45108</v>
      </c>
      <c r="E911" s="28">
        <v>0</v>
      </c>
      <c r="G911" s="35">
        <f t="shared" si="53"/>
        <v>0</v>
      </c>
      <c r="H911" s="54">
        <v>45206</v>
      </c>
      <c r="I911" s="30">
        <v>45283</v>
      </c>
    </row>
    <row r="912" spans="1:11" ht="15" hidden="1" customHeight="1" x14ac:dyDescent="0.3">
      <c r="A912" s="118" t="s">
        <v>36</v>
      </c>
      <c r="B912" s="28">
        <v>0</v>
      </c>
      <c r="C912" s="28">
        <f>SUM(C881:C911)</f>
        <v>595000</v>
      </c>
      <c r="D912" s="28">
        <f>SUM(D881:D911)</f>
        <v>2235372</v>
      </c>
      <c r="E912" s="28">
        <f>SUM(E881:E911)</f>
        <v>2830372</v>
      </c>
      <c r="F912" s="28">
        <f>SUM(F881:F911)</f>
        <v>1193123</v>
      </c>
      <c r="G912" s="28">
        <f>SUM(G881:G911)</f>
        <v>1637249</v>
      </c>
      <c r="H912" s="54">
        <v>45207</v>
      </c>
      <c r="I912" s="30">
        <v>45284</v>
      </c>
    </row>
    <row r="913" spans="1:9" ht="15" hidden="1" customHeight="1" thickBot="1" x14ac:dyDescent="0.35">
      <c r="H913" s="54">
        <v>45208</v>
      </c>
      <c r="I913" s="30">
        <v>45285</v>
      </c>
    </row>
    <row r="914" spans="1:9" ht="15" hidden="1" customHeight="1" thickBot="1" x14ac:dyDescent="0.35">
      <c r="A914" s="113" t="s">
        <v>4</v>
      </c>
      <c r="B914" s="103" t="s">
        <v>6</v>
      </c>
      <c r="C914" s="103" t="s">
        <v>7</v>
      </c>
      <c r="D914" s="103" t="s">
        <v>109</v>
      </c>
      <c r="E914" s="103" t="s">
        <v>8</v>
      </c>
      <c r="F914" s="103" t="s">
        <v>9</v>
      </c>
      <c r="G914" s="103" t="s">
        <v>0</v>
      </c>
      <c r="H914" s="54">
        <v>45209</v>
      </c>
      <c r="I914" s="30">
        <v>45286</v>
      </c>
    </row>
    <row r="915" spans="1:9" ht="15" hidden="1" customHeight="1" x14ac:dyDescent="0.3">
      <c r="A915" s="114">
        <v>45047</v>
      </c>
      <c r="E915" s="28">
        <v>0</v>
      </c>
      <c r="G915" s="35">
        <v>0</v>
      </c>
      <c r="H915" s="46">
        <v>45210</v>
      </c>
      <c r="I915" s="30">
        <v>45287</v>
      </c>
    </row>
    <row r="916" spans="1:9" ht="15" hidden="1" customHeight="1" x14ac:dyDescent="0.3">
      <c r="A916" s="114">
        <v>45048</v>
      </c>
      <c r="C916" s="28">
        <v>146132</v>
      </c>
      <c r="E916" s="28">
        <v>146132</v>
      </c>
      <c r="F916" s="28">
        <v>27307</v>
      </c>
      <c r="G916" s="35">
        <v>118825</v>
      </c>
      <c r="H916" s="46">
        <v>45211</v>
      </c>
      <c r="I916" s="30">
        <v>45288</v>
      </c>
    </row>
    <row r="917" spans="1:9" ht="15" hidden="1" customHeight="1" x14ac:dyDescent="0.3">
      <c r="A917" s="114">
        <v>45049</v>
      </c>
      <c r="C917" s="28">
        <v>90600</v>
      </c>
      <c r="E917" s="28">
        <v>90600</v>
      </c>
      <c r="F917" s="28">
        <v>45064</v>
      </c>
      <c r="G917" s="35">
        <v>45536</v>
      </c>
      <c r="H917" s="55">
        <v>45212</v>
      </c>
      <c r="I917" s="30">
        <v>45289</v>
      </c>
    </row>
    <row r="918" spans="1:9" ht="15" hidden="1" customHeight="1" x14ac:dyDescent="0.3">
      <c r="A918" s="114">
        <v>45050</v>
      </c>
      <c r="E918" s="28">
        <v>0</v>
      </c>
      <c r="F918" s="28">
        <v>46335</v>
      </c>
      <c r="G918" s="35">
        <v>-46335</v>
      </c>
      <c r="H918" s="55">
        <v>45213</v>
      </c>
      <c r="I918" s="30">
        <v>45290</v>
      </c>
    </row>
    <row r="919" spans="1:9" ht="15" hidden="1" customHeight="1" x14ac:dyDescent="0.3">
      <c r="A919" s="114">
        <v>45051</v>
      </c>
      <c r="E919" s="28">
        <v>0</v>
      </c>
      <c r="F919" s="28">
        <v>7890</v>
      </c>
      <c r="G919" s="35">
        <v>-7890</v>
      </c>
      <c r="H919" s="58">
        <v>45214</v>
      </c>
      <c r="I919" s="30">
        <v>45291</v>
      </c>
    </row>
    <row r="920" spans="1:9" ht="15" hidden="1" customHeight="1" x14ac:dyDescent="0.3">
      <c r="A920" s="114">
        <v>45052</v>
      </c>
      <c r="C920" s="28">
        <v>94700</v>
      </c>
      <c r="E920" s="28">
        <v>94700</v>
      </c>
      <c r="G920" s="35">
        <v>94700</v>
      </c>
      <c r="H920" s="58">
        <v>45215</v>
      </c>
    </row>
    <row r="921" spans="1:9" ht="15" hidden="1" customHeight="1" x14ac:dyDescent="0.3">
      <c r="A921" s="114">
        <v>45053</v>
      </c>
      <c r="E921" s="28">
        <v>0</v>
      </c>
      <c r="F921" s="28">
        <v>18000</v>
      </c>
      <c r="G921" s="35">
        <v>-18000</v>
      </c>
      <c r="H921" s="77">
        <v>45216</v>
      </c>
    </row>
    <row r="922" spans="1:9" ht="15" hidden="1" customHeight="1" x14ac:dyDescent="0.3">
      <c r="A922" s="114">
        <v>45054</v>
      </c>
      <c r="E922" s="28">
        <v>0</v>
      </c>
      <c r="F922" s="28">
        <v>205710</v>
      </c>
      <c r="G922" s="35">
        <v>-205710</v>
      </c>
      <c r="H922" s="58">
        <v>45217</v>
      </c>
    </row>
    <row r="923" spans="1:9" ht="15" hidden="1" customHeight="1" x14ac:dyDescent="0.3">
      <c r="A923" s="114">
        <v>45055</v>
      </c>
      <c r="E923" s="28">
        <v>0</v>
      </c>
      <c r="F923" s="28">
        <v>43335</v>
      </c>
      <c r="G923" s="35">
        <v>-43335</v>
      </c>
      <c r="H923" s="58">
        <v>45218</v>
      </c>
    </row>
    <row r="924" spans="1:9" ht="15" hidden="1" customHeight="1" x14ac:dyDescent="0.3">
      <c r="A924" s="114">
        <v>45056</v>
      </c>
      <c r="C924" s="28">
        <v>185000</v>
      </c>
      <c r="E924" s="28">
        <v>185000</v>
      </c>
      <c r="F924" s="28">
        <v>57740</v>
      </c>
      <c r="G924" s="35">
        <v>127260</v>
      </c>
      <c r="H924" s="58">
        <v>45219</v>
      </c>
    </row>
    <row r="925" spans="1:9" ht="15" hidden="1" customHeight="1" x14ac:dyDescent="0.3">
      <c r="A925" s="114">
        <v>45057</v>
      </c>
      <c r="C925" s="28">
        <v>12000</v>
      </c>
      <c r="E925" s="28">
        <v>12000</v>
      </c>
      <c r="F925" s="28">
        <v>10549</v>
      </c>
      <c r="G925" s="35">
        <v>1451</v>
      </c>
      <c r="H925" s="58">
        <v>45220</v>
      </c>
    </row>
    <row r="926" spans="1:9" ht="15" hidden="1" customHeight="1" x14ac:dyDescent="0.3">
      <c r="A926" s="114">
        <v>45058</v>
      </c>
      <c r="E926" s="28">
        <v>0</v>
      </c>
      <c r="F926" s="28">
        <v>71100</v>
      </c>
      <c r="G926" s="35">
        <v>-71100</v>
      </c>
      <c r="H926" s="58">
        <v>45221</v>
      </c>
    </row>
    <row r="927" spans="1:9" ht="15" hidden="1" customHeight="1" x14ac:dyDescent="0.3">
      <c r="A927" s="114">
        <v>45059</v>
      </c>
      <c r="E927" s="28">
        <v>0</v>
      </c>
      <c r="F927" s="28">
        <v>33975</v>
      </c>
      <c r="G927" s="35">
        <v>-33975</v>
      </c>
      <c r="H927" s="58">
        <v>45222</v>
      </c>
    </row>
    <row r="928" spans="1:9" ht="15" hidden="1" customHeight="1" x14ac:dyDescent="0.3">
      <c r="A928" s="114">
        <v>45060</v>
      </c>
      <c r="C928" s="28">
        <v>648500</v>
      </c>
      <c r="E928" s="28">
        <v>648500</v>
      </c>
      <c r="F928" s="28">
        <v>10103</v>
      </c>
      <c r="G928" s="35">
        <v>638397</v>
      </c>
      <c r="H928" s="58">
        <v>45223</v>
      </c>
    </row>
    <row r="929" spans="1:10" ht="15" hidden="1" customHeight="1" x14ac:dyDescent="0.3">
      <c r="A929" s="114">
        <v>45061</v>
      </c>
      <c r="D929" s="28">
        <v>28000</v>
      </c>
      <c r="E929" s="28">
        <v>28000</v>
      </c>
      <c r="F929" s="28">
        <v>74215</v>
      </c>
      <c r="G929" s="35">
        <v>-46215</v>
      </c>
      <c r="H929" s="58">
        <v>45224</v>
      </c>
    </row>
    <row r="930" spans="1:10" ht="15" hidden="1" customHeight="1" x14ac:dyDescent="0.3">
      <c r="A930" s="114">
        <v>45062</v>
      </c>
      <c r="D930" s="28">
        <v>15000</v>
      </c>
      <c r="E930" s="28">
        <v>15000</v>
      </c>
      <c r="G930" s="35">
        <v>15000</v>
      </c>
      <c r="H930" s="76">
        <v>45225</v>
      </c>
    </row>
    <row r="931" spans="1:10" ht="15" hidden="1" customHeight="1" x14ac:dyDescent="0.3">
      <c r="A931" s="114">
        <v>45063</v>
      </c>
      <c r="D931" s="28">
        <v>17500</v>
      </c>
      <c r="E931" s="28">
        <v>17500</v>
      </c>
      <c r="F931" s="28">
        <v>16100</v>
      </c>
      <c r="G931" s="35">
        <v>1400</v>
      </c>
      <c r="H931" s="58">
        <v>45226</v>
      </c>
    </row>
    <row r="932" spans="1:10" ht="15" hidden="1" customHeight="1" x14ac:dyDescent="0.3">
      <c r="A932" s="114">
        <v>45064</v>
      </c>
      <c r="D932" s="28">
        <v>7300</v>
      </c>
      <c r="E932" s="28">
        <v>7300</v>
      </c>
      <c r="G932" s="35">
        <v>7300</v>
      </c>
      <c r="H932" s="58">
        <v>45227</v>
      </c>
    </row>
    <row r="933" spans="1:10" ht="15" hidden="1" customHeight="1" x14ac:dyDescent="0.3">
      <c r="A933" s="114">
        <v>45065</v>
      </c>
      <c r="E933" s="28">
        <v>0</v>
      </c>
      <c r="G933" s="35">
        <v>0</v>
      </c>
      <c r="H933" s="58">
        <v>45228</v>
      </c>
    </row>
    <row r="934" spans="1:10" ht="15" hidden="1" customHeight="1" x14ac:dyDescent="0.3">
      <c r="A934" s="114">
        <v>45066</v>
      </c>
      <c r="E934" s="28">
        <v>0</v>
      </c>
      <c r="F934" s="28">
        <v>16500</v>
      </c>
      <c r="G934" s="35">
        <v>-16500</v>
      </c>
      <c r="H934" s="58">
        <v>45229</v>
      </c>
    </row>
    <row r="935" spans="1:10" ht="15" hidden="1" customHeight="1" x14ac:dyDescent="0.3">
      <c r="A935" s="114">
        <v>45067</v>
      </c>
      <c r="D935" s="28">
        <v>18600</v>
      </c>
      <c r="E935" s="28">
        <v>18600</v>
      </c>
      <c r="F935" s="28">
        <v>21000</v>
      </c>
      <c r="G935" s="35">
        <v>-2400</v>
      </c>
      <c r="H935" s="58">
        <v>45230</v>
      </c>
    </row>
    <row r="936" spans="1:10" ht="15" hidden="1" customHeight="1" x14ac:dyDescent="0.3">
      <c r="A936" s="114">
        <v>45068</v>
      </c>
      <c r="E936" s="28">
        <v>0</v>
      </c>
      <c r="F936" s="28">
        <v>48836</v>
      </c>
      <c r="G936" s="35">
        <v>-48836</v>
      </c>
      <c r="H936" s="58"/>
    </row>
    <row r="937" spans="1:10" ht="15" hidden="1" customHeight="1" x14ac:dyDescent="0.3">
      <c r="A937" s="114">
        <v>45069</v>
      </c>
      <c r="E937" s="28">
        <v>0</v>
      </c>
      <c r="F937" s="28">
        <v>27092</v>
      </c>
      <c r="G937" s="35">
        <v>-27092</v>
      </c>
      <c r="H937" s="58"/>
    </row>
    <row r="938" spans="1:10" ht="15" hidden="1" customHeight="1" x14ac:dyDescent="0.3">
      <c r="A938" s="114">
        <v>45070</v>
      </c>
      <c r="E938" s="28">
        <v>0</v>
      </c>
      <c r="F938" s="28">
        <v>169803</v>
      </c>
      <c r="G938" s="35">
        <v>-169803</v>
      </c>
      <c r="H938" s="58"/>
    </row>
    <row r="939" spans="1:10" ht="15" hidden="1" customHeight="1" x14ac:dyDescent="0.3">
      <c r="A939" s="114">
        <v>45071</v>
      </c>
      <c r="E939" s="28">
        <v>0</v>
      </c>
      <c r="F939" s="28">
        <v>20514</v>
      </c>
      <c r="G939" s="35">
        <v>-20514</v>
      </c>
      <c r="H939" s="58"/>
    </row>
    <row r="940" spans="1:10" ht="15" hidden="1" customHeight="1" x14ac:dyDescent="0.3">
      <c r="A940" s="114">
        <v>45072</v>
      </c>
      <c r="E940" s="28">
        <v>0</v>
      </c>
      <c r="F940" s="28">
        <v>57926</v>
      </c>
      <c r="G940" s="35">
        <v>-57926</v>
      </c>
      <c r="H940" s="58"/>
    </row>
    <row r="941" spans="1:10" ht="15" hidden="1" customHeight="1" x14ac:dyDescent="0.3">
      <c r="A941" s="114">
        <v>45073</v>
      </c>
      <c r="D941" s="28">
        <v>405250</v>
      </c>
      <c r="E941" s="28">
        <v>405250</v>
      </c>
      <c r="F941" s="28">
        <v>18448</v>
      </c>
      <c r="G941" s="35">
        <v>386802</v>
      </c>
      <c r="H941" s="58"/>
    </row>
    <row r="942" spans="1:10" ht="15" hidden="1" customHeight="1" x14ac:dyDescent="0.3">
      <c r="A942" s="114">
        <v>45074</v>
      </c>
      <c r="D942" s="28">
        <v>26000</v>
      </c>
      <c r="E942" s="28">
        <v>26000</v>
      </c>
      <c r="F942" s="28">
        <v>45640</v>
      </c>
      <c r="G942" s="35">
        <v>-19640</v>
      </c>
      <c r="H942" s="58"/>
    </row>
    <row r="943" spans="1:10" ht="15" hidden="1" customHeight="1" x14ac:dyDescent="0.3">
      <c r="A943" s="114">
        <v>45075</v>
      </c>
      <c r="E943" s="28">
        <v>0</v>
      </c>
      <c r="F943" s="28">
        <v>228012</v>
      </c>
      <c r="G943" s="35">
        <v>-228012</v>
      </c>
      <c r="H943" s="58"/>
      <c r="J943" s="44"/>
    </row>
    <row r="944" spans="1:10" ht="15" hidden="1" customHeight="1" x14ac:dyDescent="0.3">
      <c r="A944" s="114">
        <v>45076</v>
      </c>
      <c r="E944" s="28">
        <v>0</v>
      </c>
      <c r="F944" s="28">
        <v>65372</v>
      </c>
      <c r="G944" s="35">
        <v>-65372</v>
      </c>
      <c r="H944" s="58"/>
    </row>
    <row r="945" spans="1:8" ht="15" hidden="1" customHeight="1" x14ac:dyDescent="0.3">
      <c r="A945" s="114">
        <v>45077</v>
      </c>
      <c r="D945" s="28">
        <v>61000</v>
      </c>
      <c r="E945" s="28">
        <v>61000</v>
      </c>
      <c r="F945" s="28">
        <f>66256+80967</f>
        <v>147223</v>
      </c>
      <c r="G945" s="35">
        <f>E945-F945</f>
        <v>-86223</v>
      </c>
      <c r="H945" s="58" t="s">
        <v>96</v>
      </c>
    </row>
    <row r="946" spans="1:8" ht="15" hidden="1" customHeight="1" x14ac:dyDescent="0.3">
      <c r="A946" s="118" t="s">
        <v>35</v>
      </c>
      <c r="B946" s="28">
        <v>0</v>
      </c>
      <c r="C946" s="28">
        <f>SUM(C916:C945)</f>
        <v>1176932</v>
      </c>
      <c r="D946" s="28">
        <f>SUM(D916:D945)</f>
        <v>578650</v>
      </c>
      <c r="E946" s="28">
        <f>SUM(E915:E945)</f>
        <v>1755582</v>
      </c>
      <c r="F946" s="28">
        <f>SUM(F915:F945)</f>
        <v>1533789</v>
      </c>
      <c r="G946" s="35">
        <f>SUM(G915:G945)</f>
        <v>221793</v>
      </c>
    </row>
    <row r="947" spans="1:8" ht="15" hidden="1" customHeight="1" thickBot="1" x14ac:dyDescent="0.35"/>
    <row r="948" spans="1:8" ht="15" hidden="1" customHeight="1" thickBot="1" x14ac:dyDescent="0.35">
      <c r="A948" s="113" t="s">
        <v>4</v>
      </c>
      <c r="B948" s="103" t="s">
        <v>6</v>
      </c>
      <c r="C948" s="103" t="s">
        <v>7</v>
      </c>
      <c r="D948" s="103" t="s">
        <v>109</v>
      </c>
      <c r="E948" s="103" t="s">
        <v>8</v>
      </c>
      <c r="F948" s="103" t="s">
        <v>9</v>
      </c>
      <c r="G948" s="103" t="s">
        <v>0</v>
      </c>
    </row>
    <row r="949" spans="1:8" ht="15" hidden="1" customHeight="1" x14ac:dyDescent="0.3">
      <c r="A949" s="114">
        <v>45017</v>
      </c>
      <c r="D949" s="28">
        <v>104730</v>
      </c>
      <c r="E949" s="28">
        <v>104730</v>
      </c>
      <c r="F949" s="28">
        <v>30057</v>
      </c>
      <c r="G949" s="35">
        <v>74673</v>
      </c>
    </row>
    <row r="950" spans="1:8" ht="15" hidden="1" customHeight="1" x14ac:dyDescent="0.3">
      <c r="A950" s="114">
        <v>45018</v>
      </c>
      <c r="E950" s="28">
        <v>0</v>
      </c>
      <c r="G950" s="35">
        <v>0</v>
      </c>
    </row>
    <row r="951" spans="1:8" ht="15" hidden="1" customHeight="1" x14ac:dyDescent="0.3">
      <c r="A951" s="114">
        <v>45019</v>
      </c>
      <c r="E951" s="28">
        <v>0</v>
      </c>
      <c r="G951" s="35">
        <v>0</v>
      </c>
    </row>
    <row r="952" spans="1:8" ht="15" hidden="1" customHeight="1" x14ac:dyDescent="0.3">
      <c r="A952" s="114">
        <v>45020</v>
      </c>
      <c r="E952" s="28">
        <v>0</v>
      </c>
      <c r="F952" s="28">
        <v>30601</v>
      </c>
      <c r="G952" s="35">
        <f>E952-F952</f>
        <v>-30601</v>
      </c>
    </row>
    <row r="953" spans="1:8" ht="15" hidden="1" customHeight="1" x14ac:dyDescent="0.3">
      <c r="A953" s="114">
        <v>45021</v>
      </c>
      <c r="D953" s="28">
        <v>12000</v>
      </c>
      <c r="E953" s="28">
        <v>12000</v>
      </c>
      <c r="G953" s="35">
        <f t="shared" ref="G953:G979" si="54">E953-F953</f>
        <v>12000</v>
      </c>
    </row>
    <row r="954" spans="1:8" ht="15" hidden="1" customHeight="1" x14ac:dyDescent="0.3">
      <c r="A954" s="114">
        <v>45022</v>
      </c>
      <c r="D954" s="28">
        <v>12000</v>
      </c>
      <c r="E954" s="28">
        <v>12000</v>
      </c>
      <c r="F954" s="28">
        <v>135103</v>
      </c>
      <c r="G954" s="35">
        <f t="shared" si="54"/>
        <v>-123103</v>
      </c>
    </row>
    <row r="955" spans="1:8" ht="15" hidden="1" customHeight="1" x14ac:dyDescent="0.3">
      <c r="A955" s="114">
        <v>45023</v>
      </c>
      <c r="E955" s="28">
        <v>0</v>
      </c>
      <c r="G955" s="35">
        <f t="shared" si="54"/>
        <v>0</v>
      </c>
    </row>
    <row r="956" spans="1:8" ht="15" hidden="1" customHeight="1" x14ac:dyDescent="0.3">
      <c r="A956" s="114">
        <v>45024</v>
      </c>
      <c r="D956" s="28">
        <v>329473</v>
      </c>
      <c r="E956" s="28">
        <v>329473</v>
      </c>
      <c r="F956" s="28">
        <v>46649</v>
      </c>
      <c r="G956" s="35">
        <f t="shared" si="54"/>
        <v>282824</v>
      </c>
    </row>
    <row r="957" spans="1:8" ht="15" hidden="1" customHeight="1" x14ac:dyDescent="0.3">
      <c r="A957" s="114">
        <v>45025</v>
      </c>
      <c r="D957" s="28">
        <v>460000</v>
      </c>
      <c r="E957" s="28">
        <v>460000</v>
      </c>
      <c r="G957" s="35">
        <f t="shared" si="54"/>
        <v>460000</v>
      </c>
    </row>
    <row r="958" spans="1:8" ht="15" hidden="1" customHeight="1" x14ac:dyDescent="0.3">
      <c r="A958" s="114">
        <v>45026</v>
      </c>
      <c r="E958" s="28">
        <v>0</v>
      </c>
      <c r="G958" s="35">
        <f t="shared" si="54"/>
        <v>0</v>
      </c>
    </row>
    <row r="959" spans="1:8" ht="15" hidden="1" customHeight="1" x14ac:dyDescent="0.3">
      <c r="A959" s="114">
        <v>45027</v>
      </c>
      <c r="D959" s="28">
        <v>12000</v>
      </c>
      <c r="E959" s="28">
        <v>12000</v>
      </c>
      <c r="F959" s="28">
        <v>2444</v>
      </c>
      <c r="G959" s="35">
        <f t="shared" si="54"/>
        <v>9556</v>
      </c>
    </row>
    <row r="960" spans="1:8" ht="15" hidden="1" customHeight="1" x14ac:dyDescent="0.3">
      <c r="A960" s="114">
        <v>45028</v>
      </c>
      <c r="E960" s="28">
        <v>0</v>
      </c>
      <c r="F960" s="28">
        <v>44210</v>
      </c>
      <c r="G960" s="35">
        <f t="shared" si="54"/>
        <v>-44210</v>
      </c>
      <c r="H960" s="58" t="s">
        <v>169</v>
      </c>
    </row>
    <row r="961" spans="1:8" ht="15" hidden="1" customHeight="1" x14ac:dyDescent="0.3">
      <c r="A961" s="114">
        <v>45029</v>
      </c>
      <c r="D961" s="28">
        <v>12000</v>
      </c>
      <c r="E961" s="28">
        <v>12000</v>
      </c>
      <c r="F961" s="28">
        <v>28575</v>
      </c>
      <c r="G961" s="35">
        <f t="shared" si="54"/>
        <v>-16575</v>
      </c>
      <c r="H961" s="58" t="s">
        <v>162</v>
      </c>
    </row>
    <row r="962" spans="1:8" ht="15" hidden="1" customHeight="1" x14ac:dyDescent="0.3">
      <c r="A962" s="114">
        <v>45030</v>
      </c>
      <c r="D962" s="28">
        <v>26000</v>
      </c>
      <c r="E962" s="28">
        <v>26000</v>
      </c>
      <c r="F962" s="28">
        <v>59256</v>
      </c>
      <c r="G962" s="35">
        <f t="shared" si="54"/>
        <v>-33256</v>
      </c>
      <c r="H962" s="58"/>
    </row>
    <row r="963" spans="1:8" ht="15" hidden="1" customHeight="1" x14ac:dyDescent="0.3">
      <c r="A963" s="114">
        <v>45031</v>
      </c>
      <c r="D963" s="28">
        <v>92400</v>
      </c>
      <c r="E963" s="28">
        <v>92400</v>
      </c>
      <c r="G963" s="35">
        <f t="shared" si="54"/>
        <v>92400</v>
      </c>
      <c r="H963" s="58" t="s">
        <v>163</v>
      </c>
    </row>
    <row r="964" spans="1:8" ht="15" hidden="1" customHeight="1" x14ac:dyDescent="0.3">
      <c r="A964" s="114">
        <v>45032</v>
      </c>
      <c r="D964" s="28">
        <v>14000</v>
      </c>
      <c r="E964" s="28">
        <v>14000</v>
      </c>
      <c r="G964" s="35">
        <f t="shared" si="54"/>
        <v>14000</v>
      </c>
      <c r="H964" s="78" t="s">
        <v>164</v>
      </c>
    </row>
    <row r="965" spans="1:8" ht="15" hidden="1" customHeight="1" x14ac:dyDescent="0.3">
      <c r="A965" s="114">
        <v>45033</v>
      </c>
      <c r="D965" s="28">
        <v>12000</v>
      </c>
      <c r="E965" s="28">
        <v>12000</v>
      </c>
      <c r="F965" s="28">
        <v>121043</v>
      </c>
      <c r="G965" s="35">
        <f t="shared" si="54"/>
        <v>-109043</v>
      </c>
      <c r="H965" s="58"/>
    </row>
    <row r="966" spans="1:8" ht="15" hidden="1" customHeight="1" x14ac:dyDescent="0.3">
      <c r="A966" s="114">
        <v>45034</v>
      </c>
      <c r="E966" s="28">
        <v>0</v>
      </c>
      <c r="G966" s="35">
        <f t="shared" si="54"/>
        <v>0</v>
      </c>
      <c r="H966" s="58"/>
    </row>
    <row r="967" spans="1:8" ht="15" hidden="1" customHeight="1" x14ac:dyDescent="0.3">
      <c r="A967" s="114">
        <v>45035</v>
      </c>
      <c r="D967" s="28">
        <v>69700</v>
      </c>
      <c r="E967" s="28">
        <v>69700</v>
      </c>
      <c r="F967" s="28">
        <v>130412.26</v>
      </c>
      <c r="G967" s="35">
        <f t="shared" si="54"/>
        <v>-60712.259999999995</v>
      </c>
      <c r="H967" s="58" t="s">
        <v>166</v>
      </c>
    </row>
    <row r="968" spans="1:8" ht="15" hidden="1" customHeight="1" x14ac:dyDescent="0.3">
      <c r="A968" s="114">
        <v>45036</v>
      </c>
      <c r="E968" s="28">
        <v>0</v>
      </c>
      <c r="F968" s="28">
        <f>19813</f>
        <v>19813</v>
      </c>
      <c r="G968" s="35">
        <f t="shared" si="54"/>
        <v>-19813</v>
      </c>
      <c r="H968" s="58"/>
    </row>
    <row r="969" spans="1:8" ht="15" hidden="1" customHeight="1" x14ac:dyDescent="0.3">
      <c r="A969" s="114">
        <v>45037</v>
      </c>
      <c r="E969" s="28">
        <v>0</v>
      </c>
      <c r="G969" s="35">
        <f t="shared" si="54"/>
        <v>0</v>
      </c>
      <c r="H969" s="58"/>
    </row>
    <row r="970" spans="1:8" ht="15" hidden="1" customHeight="1" x14ac:dyDescent="0.3">
      <c r="A970" s="114">
        <v>45038</v>
      </c>
      <c r="D970" s="28">
        <v>60000</v>
      </c>
      <c r="E970" s="28">
        <v>60000</v>
      </c>
      <c r="F970" s="28">
        <v>87600</v>
      </c>
      <c r="G970" s="35">
        <f t="shared" si="54"/>
        <v>-27600</v>
      </c>
      <c r="H970" s="58"/>
    </row>
    <row r="971" spans="1:8" ht="15" hidden="1" customHeight="1" x14ac:dyDescent="0.3">
      <c r="A971" s="114">
        <v>45039</v>
      </c>
      <c r="E971" s="28">
        <v>0</v>
      </c>
      <c r="F971" s="28">
        <v>9223</v>
      </c>
      <c r="G971" s="35">
        <f t="shared" si="54"/>
        <v>-9223</v>
      </c>
      <c r="H971" s="58"/>
    </row>
    <row r="972" spans="1:8" ht="15" hidden="1" customHeight="1" x14ac:dyDescent="0.3">
      <c r="A972" s="114">
        <v>45040</v>
      </c>
      <c r="D972" s="28">
        <v>39000</v>
      </c>
      <c r="E972" s="28">
        <v>39000</v>
      </c>
      <c r="G972" s="35">
        <f t="shared" si="54"/>
        <v>39000</v>
      </c>
      <c r="H972" s="58"/>
    </row>
    <row r="973" spans="1:8" ht="15" hidden="1" customHeight="1" x14ac:dyDescent="0.3">
      <c r="A973" s="114">
        <v>45041</v>
      </c>
      <c r="D973" s="28">
        <v>64100</v>
      </c>
      <c r="E973" s="28">
        <v>64100</v>
      </c>
      <c r="F973" s="28">
        <f>28166+35299+4330</f>
        <v>67795</v>
      </c>
      <c r="G973" s="35">
        <f t="shared" si="54"/>
        <v>-3695</v>
      </c>
      <c r="H973" s="58" t="s">
        <v>165</v>
      </c>
    </row>
    <row r="974" spans="1:8" ht="15" hidden="1" customHeight="1" x14ac:dyDescent="0.3">
      <c r="A974" s="114">
        <v>45042</v>
      </c>
      <c r="E974" s="28">
        <v>0</v>
      </c>
      <c r="F974" s="28">
        <v>167954</v>
      </c>
      <c r="G974" s="35">
        <f t="shared" si="54"/>
        <v>-167954</v>
      </c>
      <c r="H974" s="58"/>
    </row>
    <row r="975" spans="1:8" ht="15" hidden="1" customHeight="1" x14ac:dyDescent="0.3">
      <c r="A975" s="114">
        <v>45043</v>
      </c>
      <c r="E975" s="28">
        <v>0</v>
      </c>
      <c r="G975" s="35">
        <f t="shared" si="54"/>
        <v>0</v>
      </c>
      <c r="H975" s="58"/>
    </row>
    <row r="976" spans="1:8" ht="15" hidden="1" customHeight="1" x14ac:dyDescent="0.3">
      <c r="A976" s="114">
        <v>45044</v>
      </c>
      <c r="D976" s="28">
        <v>655200</v>
      </c>
      <c r="E976" s="28">
        <v>655200</v>
      </c>
      <c r="G976" s="35">
        <f t="shared" si="54"/>
        <v>655200</v>
      </c>
      <c r="H976" s="58" t="s">
        <v>167</v>
      </c>
    </row>
    <row r="977" spans="1:8" ht="15" hidden="1" customHeight="1" x14ac:dyDescent="0.3">
      <c r="A977" s="114">
        <v>45045</v>
      </c>
      <c r="D977" s="28">
        <v>108400</v>
      </c>
      <c r="E977" s="28">
        <v>108400</v>
      </c>
      <c r="G977" s="35">
        <f t="shared" si="54"/>
        <v>108400</v>
      </c>
      <c r="H977" s="58" t="s">
        <v>168</v>
      </c>
    </row>
    <row r="978" spans="1:8" ht="15" hidden="1" customHeight="1" x14ac:dyDescent="0.3">
      <c r="A978" s="114">
        <v>45046</v>
      </c>
      <c r="D978" s="28">
        <v>79000</v>
      </c>
      <c r="E978" s="28">
        <v>79000</v>
      </c>
      <c r="G978" s="35">
        <f t="shared" si="54"/>
        <v>79000</v>
      </c>
    </row>
    <row r="979" spans="1:8" ht="15" hidden="1" customHeight="1" x14ac:dyDescent="0.3">
      <c r="A979" s="114">
        <v>45047</v>
      </c>
      <c r="E979" s="28">
        <v>0</v>
      </c>
      <c r="G979" s="35">
        <f t="shared" si="54"/>
        <v>0</v>
      </c>
    </row>
    <row r="980" spans="1:8" ht="15" hidden="1" customHeight="1" x14ac:dyDescent="0.3">
      <c r="A980" s="114" t="s">
        <v>34</v>
      </c>
      <c r="B980" s="28">
        <v>0</v>
      </c>
      <c r="C980" s="28">
        <v>0</v>
      </c>
      <c r="D980" s="28">
        <v>2162003</v>
      </c>
      <c r="E980" s="28">
        <v>2162003</v>
      </c>
      <c r="F980" s="28">
        <f>SUM(F949:F979)</f>
        <v>980735.26</v>
      </c>
      <c r="G980" s="35">
        <f>E980-F980</f>
        <v>1181267.74</v>
      </c>
    </row>
    <row r="981" spans="1:8" ht="15" hidden="1" customHeight="1" thickBot="1" x14ac:dyDescent="0.35"/>
    <row r="982" spans="1:8" ht="15" hidden="1" customHeight="1" thickBot="1" x14ac:dyDescent="0.35">
      <c r="A982" s="113" t="s">
        <v>4</v>
      </c>
      <c r="B982" s="103" t="s">
        <v>6</v>
      </c>
      <c r="C982" s="103" t="s">
        <v>7</v>
      </c>
      <c r="D982" s="103" t="s">
        <v>109</v>
      </c>
      <c r="E982" s="103" t="s">
        <v>8</v>
      </c>
      <c r="F982" s="103" t="s">
        <v>9</v>
      </c>
      <c r="G982" s="103" t="s">
        <v>0</v>
      </c>
    </row>
    <row r="983" spans="1:8" ht="15" hidden="1" customHeight="1" x14ac:dyDescent="0.3">
      <c r="A983" s="114">
        <v>44986</v>
      </c>
      <c r="D983" s="28">
        <v>24000</v>
      </c>
      <c r="E983" s="28">
        <v>24000</v>
      </c>
      <c r="F983" s="28">
        <v>6000</v>
      </c>
      <c r="G983" s="35">
        <v>18000</v>
      </c>
    </row>
    <row r="984" spans="1:8" ht="15" hidden="1" customHeight="1" x14ac:dyDescent="0.3">
      <c r="A984" s="114">
        <v>44987</v>
      </c>
      <c r="D984" s="28">
        <v>14000</v>
      </c>
      <c r="E984" s="28">
        <v>14000</v>
      </c>
      <c r="F984" s="28">
        <v>26580</v>
      </c>
      <c r="G984" s="35">
        <v>-12580</v>
      </c>
    </row>
    <row r="985" spans="1:8" ht="15" hidden="1" customHeight="1" x14ac:dyDescent="0.3">
      <c r="A985" s="114">
        <v>44988</v>
      </c>
      <c r="E985" s="28">
        <v>0</v>
      </c>
      <c r="G985" s="35">
        <v>0</v>
      </c>
    </row>
    <row r="986" spans="1:8" ht="15" hidden="1" customHeight="1" x14ac:dyDescent="0.3">
      <c r="A986" s="114">
        <v>44989</v>
      </c>
      <c r="D986" s="28">
        <v>272500</v>
      </c>
      <c r="E986" s="28">
        <v>272500</v>
      </c>
      <c r="F986" s="28">
        <v>24712</v>
      </c>
      <c r="G986" s="35">
        <v>247788</v>
      </c>
    </row>
    <row r="987" spans="1:8" ht="15" hidden="1" customHeight="1" x14ac:dyDescent="0.3">
      <c r="A987" s="114">
        <v>44990</v>
      </c>
      <c r="E987" s="28">
        <v>0</v>
      </c>
      <c r="G987" s="35">
        <v>0</v>
      </c>
    </row>
    <row r="988" spans="1:8" ht="15" hidden="1" customHeight="1" x14ac:dyDescent="0.3">
      <c r="A988" s="114">
        <v>44991</v>
      </c>
      <c r="E988" s="28">
        <v>0</v>
      </c>
      <c r="F988" s="28">
        <v>35800</v>
      </c>
      <c r="G988" s="35">
        <v>-35800</v>
      </c>
    </row>
    <row r="989" spans="1:8" ht="15" hidden="1" customHeight="1" x14ac:dyDescent="0.3">
      <c r="A989" s="114">
        <v>44992</v>
      </c>
      <c r="E989" s="28">
        <v>0</v>
      </c>
      <c r="G989" s="35">
        <v>0</v>
      </c>
    </row>
    <row r="990" spans="1:8" ht="15" hidden="1" customHeight="1" x14ac:dyDescent="0.3">
      <c r="A990" s="114">
        <v>44993</v>
      </c>
      <c r="D990" s="28">
        <v>50000</v>
      </c>
      <c r="E990" s="28">
        <v>50000</v>
      </c>
      <c r="F990" s="28">
        <v>26434</v>
      </c>
      <c r="G990" s="35">
        <v>23566</v>
      </c>
    </row>
    <row r="991" spans="1:8" ht="15" hidden="1" customHeight="1" x14ac:dyDescent="0.3">
      <c r="A991" s="114">
        <v>44994</v>
      </c>
      <c r="E991" s="28">
        <v>0</v>
      </c>
      <c r="F991" s="28">
        <v>18050</v>
      </c>
      <c r="G991" s="35">
        <v>-18050</v>
      </c>
    </row>
    <row r="992" spans="1:8" ht="15" hidden="1" customHeight="1" x14ac:dyDescent="0.3">
      <c r="A992" s="114">
        <v>44995</v>
      </c>
      <c r="D992" s="28">
        <v>54000</v>
      </c>
      <c r="E992" s="28">
        <v>54000</v>
      </c>
      <c r="F992" s="28">
        <v>41808</v>
      </c>
      <c r="G992" s="35">
        <v>12192</v>
      </c>
    </row>
    <row r="993" spans="1:7" ht="15" hidden="1" customHeight="1" x14ac:dyDescent="0.3">
      <c r="A993" s="114">
        <v>44996</v>
      </c>
      <c r="D993" s="28">
        <v>272200</v>
      </c>
      <c r="E993" s="28">
        <v>272200</v>
      </c>
      <c r="F993" s="28">
        <v>9026</v>
      </c>
      <c r="G993" s="35">
        <v>263174</v>
      </c>
    </row>
    <row r="994" spans="1:7" ht="15" hidden="1" customHeight="1" x14ac:dyDescent="0.3">
      <c r="A994" s="114">
        <v>44997</v>
      </c>
      <c r="D994" s="28">
        <v>14000</v>
      </c>
      <c r="E994" s="28">
        <v>14000</v>
      </c>
      <c r="F994" s="28">
        <v>61600</v>
      </c>
      <c r="G994" s="35">
        <v>-47600</v>
      </c>
    </row>
    <row r="995" spans="1:7" ht="15" hidden="1" customHeight="1" x14ac:dyDescent="0.3">
      <c r="A995" s="114">
        <v>44998</v>
      </c>
      <c r="E995" s="28">
        <v>0</v>
      </c>
      <c r="F995" s="28">
        <v>105000</v>
      </c>
      <c r="G995" s="35">
        <v>-105000</v>
      </c>
    </row>
    <row r="996" spans="1:7" ht="15" hidden="1" customHeight="1" x14ac:dyDescent="0.3">
      <c r="A996" s="114">
        <v>44999</v>
      </c>
      <c r="D996" s="28">
        <v>82000</v>
      </c>
      <c r="E996" s="28">
        <v>82000</v>
      </c>
      <c r="F996" s="28">
        <v>67736</v>
      </c>
      <c r="G996" s="35">
        <v>14264</v>
      </c>
    </row>
    <row r="997" spans="1:7" ht="15" hidden="1" customHeight="1" x14ac:dyDescent="0.3">
      <c r="A997" s="114">
        <v>45000</v>
      </c>
      <c r="E997" s="28">
        <v>0</v>
      </c>
      <c r="F997" s="28">
        <v>61148</v>
      </c>
      <c r="G997" s="35">
        <v>-61148</v>
      </c>
    </row>
    <row r="998" spans="1:7" ht="15" hidden="1" customHeight="1" x14ac:dyDescent="0.3">
      <c r="A998" s="114">
        <v>45001</v>
      </c>
      <c r="D998" s="28">
        <v>92000</v>
      </c>
      <c r="E998" s="28">
        <v>92000</v>
      </c>
      <c r="F998" s="28">
        <v>23667</v>
      </c>
      <c r="G998" s="35">
        <v>68333</v>
      </c>
    </row>
    <row r="999" spans="1:7" ht="15" hidden="1" customHeight="1" x14ac:dyDescent="0.3">
      <c r="A999" s="114">
        <v>45002</v>
      </c>
      <c r="D999" s="28">
        <v>90000</v>
      </c>
      <c r="E999" s="28">
        <v>90000</v>
      </c>
      <c r="F999" s="28">
        <v>23950</v>
      </c>
      <c r="G999" s="35">
        <v>66050</v>
      </c>
    </row>
    <row r="1000" spans="1:7" ht="15" hidden="1" customHeight="1" x14ac:dyDescent="0.3">
      <c r="A1000" s="114">
        <v>45003</v>
      </c>
      <c r="E1000" s="28">
        <v>0</v>
      </c>
      <c r="F1000" s="28">
        <v>100000</v>
      </c>
      <c r="G1000" s="35">
        <v>-100000</v>
      </c>
    </row>
    <row r="1001" spans="1:7" ht="15" hidden="1" customHeight="1" x14ac:dyDescent="0.3">
      <c r="A1001" s="114">
        <v>45004</v>
      </c>
      <c r="E1001" s="28">
        <v>0</v>
      </c>
      <c r="F1001" s="28">
        <v>6197</v>
      </c>
      <c r="G1001" s="35">
        <v>-6197</v>
      </c>
    </row>
    <row r="1002" spans="1:7" ht="15" hidden="1" customHeight="1" x14ac:dyDescent="0.3">
      <c r="A1002" s="114">
        <v>45005</v>
      </c>
      <c r="E1002" s="28">
        <v>0</v>
      </c>
      <c r="F1002" s="28">
        <v>33442</v>
      </c>
      <c r="G1002" s="35">
        <v>-33442</v>
      </c>
    </row>
    <row r="1003" spans="1:7" ht="15" hidden="1" customHeight="1" x14ac:dyDescent="0.3">
      <c r="A1003" s="114">
        <v>45006</v>
      </c>
      <c r="E1003" s="28">
        <v>0</v>
      </c>
      <c r="G1003" s="35">
        <v>0</v>
      </c>
    </row>
    <row r="1004" spans="1:7" ht="15" hidden="1" customHeight="1" x14ac:dyDescent="0.3">
      <c r="A1004" s="114">
        <v>45007</v>
      </c>
      <c r="E1004" s="28">
        <v>0</v>
      </c>
      <c r="F1004" s="28">
        <v>49947</v>
      </c>
      <c r="G1004" s="35">
        <v>-49947</v>
      </c>
    </row>
    <row r="1005" spans="1:7" ht="15" hidden="1" customHeight="1" x14ac:dyDescent="0.3">
      <c r="A1005" s="114">
        <v>45008</v>
      </c>
      <c r="E1005" s="28">
        <v>0</v>
      </c>
      <c r="F1005" s="28">
        <v>96389</v>
      </c>
      <c r="G1005" s="35">
        <v>-96389</v>
      </c>
    </row>
    <row r="1006" spans="1:7" ht="15" hidden="1" customHeight="1" x14ac:dyDescent="0.3">
      <c r="A1006" s="114">
        <v>45009</v>
      </c>
      <c r="E1006" s="28">
        <v>0</v>
      </c>
      <c r="G1006" s="35">
        <v>0</v>
      </c>
    </row>
    <row r="1007" spans="1:7" ht="15" hidden="1" customHeight="1" x14ac:dyDescent="0.3">
      <c r="A1007" s="114">
        <v>45010</v>
      </c>
      <c r="E1007" s="28">
        <v>0</v>
      </c>
      <c r="F1007" s="28">
        <v>79637</v>
      </c>
      <c r="G1007" s="35">
        <v>-79637</v>
      </c>
    </row>
    <row r="1008" spans="1:7" ht="15" hidden="1" customHeight="1" x14ac:dyDescent="0.3">
      <c r="A1008" s="114">
        <v>45011</v>
      </c>
      <c r="E1008" s="28">
        <v>0</v>
      </c>
      <c r="F1008" s="28">
        <v>18050</v>
      </c>
      <c r="G1008" s="35">
        <v>-18050</v>
      </c>
    </row>
    <row r="1009" spans="1:7" ht="15" hidden="1" customHeight="1" x14ac:dyDescent="0.3">
      <c r="A1009" s="114">
        <v>45012</v>
      </c>
      <c r="D1009" s="28">
        <v>48000</v>
      </c>
      <c r="E1009" s="28">
        <v>48000</v>
      </c>
      <c r="F1009" s="28">
        <v>69548</v>
      </c>
      <c r="G1009" s="35">
        <v>-21548</v>
      </c>
    </row>
    <row r="1010" spans="1:7" ht="15" hidden="1" customHeight="1" x14ac:dyDescent="0.3">
      <c r="A1010" s="114">
        <v>45013</v>
      </c>
      <c r="E1010" s="28">
        <v>0</v>
      </c>
      <c r="F1010" s="28">
        <v>15232</v>
      </c>
      <c r="G1010" s="35">
        <v>-15232</v>
      </c>
    </row>
    <row r="1011" spans="1:7" ht="15" hidden="1" customHeight="1" x14ac:dyDescent="0.3">
      <c r="A1011" s="114">
        <v>45014</v>
      </c>
      <c r="D1011" s="28">
        <v>12000</v>
      </c>
      <c r="E1011" s="28">
        <v>12000</v>
      </c>
      <c r="G1011" s="35">
        <v>12000</v>
      </c>
    </row>
    <row r="1012" spans="1:7" ht="15" hidden="1" customHeight="1" x14ac:dyDescent="0.3">
      <c r="A1012" s="114">
        <v>45015</v>
      </c>
      <c r="E1012" s="28">
        <v>0</v>
      </c>
      <c r="G1012" s="35">
        <v>0</v>
      </c>
    </row>
    <row r="1013" spans="1:7" ht="15" hidden="1" customHeight="1" x14ac:dyDescent="0.3">
      <c r="A1013" s="114">
        <v>45016</v>
      </c>
      <c r="D1013" s="28">
        <v>69120</v>
      </c>
      <c r="E1013" s="28">
        <v>69120</v>
      </c>
      <c r="F1013" s="28">
        <v>30000</v>
      </c>
      <c r="G1013" s="35">
        <f>69120-30000</f>
        <v>39120</v>
      </c>
    </row>
    <row r="1014" spans="1:7" ht="15" hidden="1" customHeight="1" x14ac:dyDescent="0.3">
      <c r="A1014" s="118" t="s">
        <v>33</v>
      </c>
      <c r="B1014" s="28">
        <v>0</v>
      </c>
      <c r="C1014" s="28">
        <v>0</v>
      </c>
      <c r="D1014" s="28">
        <v>1093820</v>
      </c>
      <c r="E1014" s="28">
        <v>1093820</v>
      </c>
      <c r="F1014" s="28">
        <f>30000+999953</f>
        <v>1029953</v>
      </c>
      <c r="G1014" s="35">
        <f>93867-30000</f>
        <v>63867</v>
      </c>
    </row>
    <row r="1015" spans="1:7" ht="15" hidden="1" customHeight="1" thickBot="1" x14ac:dyDescent="0.35"/>
    <row r="1016" spans="1:7" ht="15" hidden="1" customHeight="1" thickBot="1" x14ac:dyDescent="0.35">
      <c r="A1016" s="113" t="s">
        <v>4</v>
      </c>
      <c r="B1016" s="103" t="s">
        <v>6</v>
      </c>
      <c r="C1016" s="103" t="s">
        <v>7</v>
      </c>
      <c r="D1016" s="103" t="s">
        <v>109</v>
      </c>
      <c r="E1016" s="103" t="s">
        <v>8</v>
      </c>
      <c r="F1016" s="103" t="s">
        <v>9</v>
      </c>
      <c r="G1016" s="103" t="s">
        <v>0</v>
      </c>
    </row>
    <row r="1017" spans="1:7" ht="15" hidden="1" customHeight="1" x14ac:dyDescent="0.3">
      <c r="A1017" s="114">
        <v>44958</v>
      </c>
      <c r="E1017" s="28">
        <v>0</v>
      </c>
      <c r="F1017" s="28">
        <v>22068</v>
      </c>
      <c r="G1017" s="35">
        <v>-22068</v>
      </c>
    </row>
    <row r="1018" spans="1:7" ht="15" hidden="1" customHeight="1" x14ac:dyDescent="0.3">
      <c r="A1018" s="114">
        <v>44959</v>
      </c>
      <c r="D1018" s="28">
        <v>57400</v>
      </c>
      <c r="E1018" s="28">
        <v>57400</v>
      </c>
      <c r="F1018" s="28">
        <v>32325</v>
      </c>
      <c r="G1018" s="35">
        <v>25075</v>
      </c>
    </row>
    <row r="1019" spans="1:7" ht="15" hidden="1" customHeight="1" x14ac:dyDescent="0.3">
      <c r="A1019" s="114">
        <v>44960</v>
      </c>
      <c r="E1019" s="28">
        <v>0</v>
      </c>
      <c r="F1019" s="28">
        <v>4427</v>
      </c>
      <c r="G1019" s="35">
        <v>-4427</v>
      </c>
    </row>
    <row r="1020" spans="1:7" ht="15" hidden="1" customHeight="1" x14ac:dyDescent="0.3">
      <c r="A1020" s="114">
        <v>44961</v>
      </c>
      <c r="E1020" s="28">
        <v>0</v>
      </c>
      <c r="G1020" s="35">
        <v>0</v>
      </c>
    </row>
    <row r="1021" spans="1:7" ht="15" hidden="1" customHeight="1" x14ac:dyDescent="0.3">
      <c r="A1021" s="114">
        <v>44962</v>
      </c>
      <c r="E1021" s="28">
        <v>0</v>
      </c>
      <c r="G1021" s="35">
        <v>0</v>
      </c>
    </row>
    <row r="1022" spans="1:7" ht="15" hidden="1" customHeight="1" x14ac:dyDescent="0.3">
      <c r="A1022" s="114">
        <v>44963</v>
      </c>
      <c r="E1022" s="28">
        <v>0</v>
      </c>
      <c r="F1022" s="28">
        <v>47432</v>
      </c>
      <c r="G1022" s="35">
        <v>-47432</v>
      </c>
    </row>
    <row r="1023" spans="1:7" ht="15" hidden="1" customHeight="1" x14ac:dyDescent="0.3">
      <c r="A1023" s="114">
        <v>44964</v>
      </c>
      <c r="E1023" s="28">
        <v>0</v>
      </c>
      <c r="G1023" s="35">
        <v>0</v>
      </c>
    </row>
    <row r="1024" spans="1:7" ht="15" hidden="1" customHeight="1" x14ac:dyDescent="0.3">
      <c r="A1024" s="114">
        <v>44965</v>
      </c>
      <c r="D1024" s="28">
        <v>364500</v>
      </c>
      <c r="E1024" s="28">
        <v>364500</v>
      </c>
      <c r="F1024" s="28">
        <v>77534</v>
      </c>
      <c r="G1024" s="35">
        <v>286966</v>
      </c>
    </row>
    <row r="1025" spans="1:7" ht="15" hidden="1" customHeight="1" x14ac:dyDescent="0.3">
      <c r="A1025" s="114">
        <v>44966</v>
      </c>
      <c r="D1025" s="28">
        <v>60000</v>
      </c>
      <c r="E1025" s="28">
        <v>60000</v>
      </c>
      <c r="F1025" s="28">
        <v>162730</v>
      </c>
      <c r="G1025" s="35">
        <v>-102730</v>
      </c>
    </row>
    <row r="1026" spans="1:7" ht="15" hidden="1" customHeight="1" x14ac:dyDescent="0.3">
      <c r="A1026" s="114">
        <v>44967</v>
      </c>
      <c r="D1026" s="28">
        <v>275850</v>
      </c>
      <c r="E1026" s="28">
        <v>275850</v>
      </c>
      <c r="F1026" s="28">
        <v>71741</v>
      </c>
      <c r="G1026" s="35">
        <v>204109</v>
      </c>
    </row>
    <row r="1027" spans="1:7" ht="15" hidden="1" customHeight="1" x14ac:dyDescent="0.3">
      <c r="A1027" s="114">
        <v>44968</v>
      </c>
      <c r="D1027" s="28">
        <v>115700</v>
      </c>
      <c r="E1027" s="28">
        <v>115700</v>
      </c>
      <c r="F1027" s="28">
        <v>157513</v>
      </c>
      <c r="G1027" s="35">
        <v>-41813</v>
      </c>
    </row>
    <row r="1028" spans="1:7" ht="15" hidden="1" customHeight="1" x14ac:dyDescent="0.3">
      <c r="A1028" s="114">
        <v>44969</v>
      </c>
      <c r="D1028" s="28">
        <v>155600</v>
      </c>
      <c r="E1028" s="28">
        <v>155600</v>
      </c>
      <c r="G1028" s="35">
        <v>155600</v>
      </c>
    </row>
    <row r="1029" spans="1:7" ht="15" hidden="1" customHeight="1" x14ac:dyDescent="0.3">
      <c r="A1029" s="114">
        <v>44970</v>
      </c>
      <c r="D1029" s="28">
        <v>22000</v>
      </c>
      <c r="E1029" s="28">
        <v>22000</v>
      </c>
      <c r="F1029" s="28">
        <v>126759</v>
      </c>
      <c r="G1029" s="35">
        <v>-104759</v>
      </c>
    </row>
    <row r="1030" spans="1:7" ht="15" hidden="1" customHeight="1" x14ac:dyDescent="0.3">
      <c r="A1030" s="114">
        <v>44971</v>
      </c>
      <c r="D1030" s="28">
        <v>364500</v>
      </c>
      <c r="E1030" s="28">
        <v>364500</v>
      </c>
      <c r="F1030" s="28">
        <v>114667</v>
      </c>
      <c r="G1030" s="35">
        <v>249833</v>
      </c>
    </row>
    <row r="1031" spans="1:7" ht="15" hidden="1" customHeight="1" x14ac:dyDescent="0.3">
      <c r="A1031" s="114">
        <v>44972</v>
      </c>
      <c r="E1031" s="28">
        <v>0</v>
      </c>
      <c r="G1031" s="35">
        <v>0</v>
      </c>
    </row>
    <row r="1032" spans="1:7" ht="15" hidden="1" customHeight="1" x14ac:dyDescent="0.3">
      <c r="A1032" s="114">
        <v>44973</v>
      </c>
      <c r="E1032" s="28">
        <v>0</v>
      </c>
      <c r="G1032" s="35">
        <v>0</v>
      </c>
    </row>
    <row r="1033" spans="1:7" ht="15" hidden="1" customHeight="1" x14ac:dyDescent="0.3">
      <c r="A1033" s="114">
        <v>44974</v>
      </c>
      <c r="E1033" s="28">
        <v>0</v>
      </c>
      <c r="F1033" s="28">
        <v>4600</v>
      </c>
      <c r="G1033" s="35">
        <v>-4600</v>
      </c>
    </row>
    <row r="1034" spans="1:7" ht="15" hidden="1" customHeight="1" x14ac:dyDescent="0.3">
      <c r="A1034" s="114">
        <v>44975</v>
      </c>
      <c r="D1034" s="28">
        <v>57000</v>
      </c>
      <c r="E1034" s="28">
        <v>57000</v>
      </c>
      <c r="G1034" s="35">
        <v>57000</v>
      </c>
    </row>
    <row r="1035" spans="1:7" ht="15" hidden="1" customHeight="1" x14ac:dyDescent="0.3">
      <c r="A1035" s="114">
        <v>44976</v>
      </c>
      <c r="D1035" s="28">
        <v>81700</v>
      </c>
      <c r="E1035" s="28">
        <v>81700</v>
      </c>
      <c r="G1035" s="35">
        <v>81700</v>
      </c>
    </row>
    <row r="1036" spans="1:7" ht="15" hidden="1" customHeight="1" x14ac:dyDescent="0.3">
      <c r="A1036" s="114">
        <v>44977</v>
      </c>
      <c r="D1036" s="28">
        <v>19918</v>
      </c>
      <c r="E1036" s="28">
        <v>19918</v>
      </c>
      <c r="F1036" s="28">
        <v>78008</v>
      </c>
      <c r="G1036" s="35">
        <v>-58090</v>
      </c>
    </row>
    <row r="1037" spans="1:7" ht="15" hidden="1" customHeight="1" x14ac:dyDescent="0.3">
      <c r="A1037" s="114">
        <v>44978</v>
      </c>
      <c r="D1037" s="28">
        <v>56000</v>
      </c>
      <c r="E1037" s="28">
        <v>56000</v>
      </c>
      <c r="G1037" s="35">
        <v>56000</v>
      </c>
    </row>
    <row r="1038" spans="1:7" ht="15" hidden="1" customHeight="1" x14ac:dyDescent="0.3">
      <c r="A1038" s="114">
        <v>44979</v>
      </c>
      <c r="E1038" s="28">
        <v>0</v>
      </c>
      <c r="G1038" s="35">
        <v>0</v>
      </c>
    </row>
    <row r="1039" spans="1:7" ht="15" hidden="1" customHeight="1" x14ac:dyDescent="0.3">
      <c r="A1039" s="114">
        <v>44980</v>
      </c>
      <c r="D1039" s="28">
        <v>71000</v>
      </c>
      <c r="E1039" s="28">
        <v>71000</v>
      </c>
      <c r="G1039" s="35">
        <v>71000</v>
      </c>
    </row>
    <row r="1040" spans="1:7" ht="15" hidden="1" customHeight="1" x14ac:dyDescent="0.3">
      <c r="A1040" s="114">
        <v>44981</v>
      </c>
      <c r="D1040" s="28">
        <v>66000</v>
      </c>
      <c r="E1040" s="28">
        <v>66000</v>
      </c>
      <c r="F1040" s="28">
        <v>25500</v>
      </c>
      <c r="G1040" s="35">
        <v>40500</v>
      </c>
    </row>
    <row r="1041" spans="1:7" ht="15" hidden="1" customHeight="1" x14ac:dyDescent="0.3">
      <c r="A1041" s="114">
        <v>44982</v>
      </c>
      <c r="D1041" s="28">
        <v>12000</v>
      </c>
      <c r="E1041" s="28">
        <v>12000</v>
      </c>
      <c r="G1041" s="35">
        <v>12000</v>
      </c>
    </row>
    <row r="1042" spans="1:7" ht="15" hidden="1" customHeight="1" x14ac:dyDescent="0.3">
      <c r="A1042" s="114">
        <v>44983</v>
      </c>
      <c r="E1042" s="28">
        <v>0</v>
      </c>
      <c r="G1042" s="35">
        <v>0</v>
      </c>
    </row>
    <row r="1043" spans="1:7" ht="15" hidden="1" customHeight="1" x14ac:dyDescent="0.3">
      <c r="A1043" s="114">
        <v>44984</v>
      </c>
      <c r="D1043" s="28">
        <v>17000</v>
      </c>
      <c r="E1043" s="28">
        <v>17000</v>
      </c>
      <c r="F1043" s="28">
        <v>95439</v>
      </c>
      <c r="G1043" s="35">
        <v>-78439</v>
      </c>
    </row>
    <row r="1044" spans="1:7" ht="15" hidden="1" customHeight="1" x14ac:dyDescent="0.3">
      <c r="A1044" s="114">
        <v>44985</v>
      </c>
      <c r="D1044" s="28">
        <v>6000</v>
      </c>
      <c r="E1044" s="28">
        <v>6000</v>
      </c>
      <c r="F1044" s="28">
        <v>101137</v>
      </c>
      <c r="G1044" s="35">
        <v>-95137</v>
      </c>
    </row>
    <row r="1045" spans="1:7" ht="15" hidden="1" customHeight="1" x14ac:dyDescent="0.3"/>
    <row r="1046" spans="1:7" ht="15" hidden="1" customHeight="1" x14ac:dyDescent="0.3">
      <c r="A1046" s="118" t="s">
        <v>32</v>
      </c>
      <c r="B1046" s="28">
        <v>0</v>
      </c>
      <c r="C1046" s="28">
        <v>0</v>
      </c>
      <c r="D1046" s="28">
        <v>1802168</v>
      </c>
      <c r="E1046" s="28">
        <v>1802168</v>
      </c>
      <c r="F1046" s="28">
        <v>1121880</v>
      </c>
      <c r="G1046" s="35">
        <v>680288</v>
      </c>
    </row>
    <row r="1047" spans="1:7" ht="15" hidden="1" customHeight="1" thickBot="1" x14ac:dyDescent="0.35"/>
    <row r="1048" spans="1:7" ht="15" hidden="1" customHeight="1" thickBot="1" x14ac:dyDescent="0.35">
      <c r="A1048" s="113" t="s">
        <v>4</v>
      </c>
      <c r="B1048" s="103" t="s">
        <v>6</v>
      </c>
      <c r="C1048" s="103" t="s">
        <v>7</v>
      </c>
      <c r="D1048" s="103" t="s">
        <v>109</v>
      </c>
      <c r="E1048" s="103" t="s">
        <v>8</v>
      </c>
      <c r="F1048" s="103" t="s">
        <v>9</v>
      </c>
      <c r="G1048" s="103" t="s">
        <v>0</v>
      </c>
    </row>
    <row r="1049" spans="1:7" ht="13.5" hidden="1" customHeight="1" x14ac:dyDescent="0.3">
      <c r="A1049" s="114">
        <v>44927</v>
      </c>
      <c r="E1049" s="28">
        <v>0</v>
      </c>
      <c r="F1049" s="28">
        <v>30000</v>
      </c>
      <c r="G1049" s="35">
        <v>-30000</v>
      </c>
    </row>
    <row r="1050" spans="1:7" ht="13.5" hidden="1" customHeight="1" x14ac:dyDescent="0.3">
      <c r="A1050" s="114">
        <v>44928</v>
      </c>
      <c r="E1050" s="28">
        <v>0</v>
      </c>
      <c r="G1050" s="35">
        <v>0</v>
      </c>
    </row>
    <row r="1051" spans="1:7" ht="13.5" hidden="1" customHeight="1" x14ac:dyDescent="0.3">
      <c r="A1051" s="114">
        <v>44929</v>
      </c>
      <c r="E1051" s="28">
        <v>0</v>
      </c>
      <c r="G1051" s="35">
        <v>0</v>
      </c>
    </row>
    <row r="1052" spans="1:7" ht="13.5" hidden="1" customHeight="1" x14ac:dyDescent="0.3">
      <c r="A1052" s="114">
        <v>44930</v>
      </c>
      <c r="E1052" s="28">
        <v>0</v>
      </c>
      <c r="G1052" s="35">
        <v>0</v>
      </c>
    </row>
    <row r="1053" spans="1:7" ht="13.5" hidden="1" customHeight="1" x14ac:dyDescent="0.3">
      <c r="A1053" s="114">
        <v>44931</v>
      </c>
      <c r="E1053" s="28">
        <v>0</v>
      </c>
      <c r="G1053" s="35">
        <v>0</v>
      </c>
    </row>
    <row r="1054" spans="1:7" ht="13.5" hidden="1" customHeight="1" x14ac:dyDescent="0.3">
      <c r="A1054" s="114">
        <v>44932</v>
      </c>
      <c r="C1054" s="28">
        <v>77200</v>
      </c>
      <c r="E1054" s="28">
        <v>77200</v>
      </c>
      <c r="F1054" s="28">
        <v>4000</v>
      </c>
      <c r="G1054" s="35">
        <v>73200</v>
      </c>
    </row>
    <row r="1055" spans="1:7" ht="13.5" hidden="1" customHeight="1" x14ac:dyDescent="0.3">
      <c r="A1055" s="114">
        <v>44933</v>
      </c>
      <c r="E1055" s="28">
        <v>0</v>
      </c>
      <c r="G1055" s="35">
        <v>0</v>
      </c>
    </row>
    <row r="1056" spans="1:7" ht="13.5" hidden="1" customHeight="1" x14ac:dyDescent="0.3">
      <c r="A1056" s="114">
        <v>44934</v>
      </c>
      <c r="E1056" s="28">
        <v>0</v>
      </c>
      <c r="G1056" s="35">
        <v>0</v>
      </c>
    </row>
    <row r="1057" spans="1:8" ht="13.5" hidden="1" customHeight="1" x14ac:dyDescent="0.3">
      <c r="A1057" s="114">
        <v>44935</v>
      </c>
      <c r="C1057" s="28">
        <v>22200</v>
      </c>
      <c r="E1057" s="28">
        <v>22200</v>
      </c>
      <c r="F1057" s="28">
        <v>37000</v>
      </c>
      <c r="G1057" s="35">
        <v>-14800</v>
      </c>
    </row>
    <row r="1058" spans="1:8" ht="13.5" hidden="1" customHeight="1" x14ac:dyDescent="0.3">
      <c r="A1058" s="114">
        <v>44936</v>
      </c>
      <c r="C1058" s="28">
        <v>21000</v>
      </c>
      <c r="E1058" s="28">
        <v>21000</v>
      </c>
      <c r="F1058" s="28">
        <v>19000</v>
      </c>
      <c r="G1058" s="35">
        <v>2000</v>
      </c>
    </row>
    <row r="1059" spans="1:8" ht="13.5" hidden="1" customHeight="1" x14ac:dyDescent="0.3">
      <c r="A1059" s="114">
        <v>44937</v>
      </c>
      <c r="C1059" s="28">
        <v>34000</v>
      </c>
      <c r="E1059" s="28">
        <v>34000</v>
      </c>
      <c r="F1059" s="28">
        <v>30854</v>
      </c>
      <c r="G1059" s="35">
        <v>3146</v>
      </c>
    </row>
    <row r="1060" spans="1:8" ht="13.5" hidden="1" customHeight="1" x14ac:dyDescent="0.3">
      <c r="A1060" s="114">
        <v>44938</v>
      </c>
      <c r="E1060" s="28">
        <v>0</v>
      </c>
      <c r="G1060" s="35">
        <v>0</v>
      </c>
    </row>
    <row r="1061" spans="1:8" ht="13.5" hidden="1" customHeight="1" x14ac:dyDescent="0.3">
      <c r="A1061" s="114">
        <v>44939</v>
      </c>
      <c r="D1061" s="28">
        <v>17000</v>
      </c>
      <c r="E1061" s="28">
        <v>17000</v>
      </c>
      <c r="F1061" s="28">
        <v>24757</v>
      </c>
      <c r="G1061" s="35">
        <v>-7757</v>
      </c>
    </row>
    <row r="1062" spans="1:8" ht="13.5" hidden="1" customHeight="1" x14ac:dyDescent="0.3">
      <c r="A1062" s="114">
        <v>44940</v>
      </c>
      <c r="D1062" s="28">
        <v>129200</v>
      </c>
      <c r="E1062" s="28">
        <v>129200</v>
      </c>
      <c r="F1062" s="28">
        <v>33589</v>
      </c>
      <c r="G1062" s="35">
        <v>95611</v>
      </c>
      <c r="H1062" s="58" t="s">
        <v>157</v>
      </c>
    </row>
    <row r="1063" spans="1:8" ht="13.5" hidden="1" customHeight="1" x14ac:dyDescent="0.3">
      <c r="A1063" s="114">
        <v>44941</v>
      </c>
      <c r="D1063" s="28">
        <v>30100</v>
      </c>
      <c r="E1063" s="28">
        <v>30100</v>
      </c>
      <c r="G1063" s="35">
        <v>30100</v>
      </c>
      <c r="H1063" s="58" t="s">
        <v>158</v>
      </c>
    </row>
    <row r="1064" spans="1:8" ht="13.5" hidden="1" customHeight="1" x14ac:dyDescent="0.3">
      <c r="A1064" s="114">
        <v>44942</v>
      </c>
      <c r="E1064" s="28">
        <v>0</v>
      </c>
      <c r="F1064" s="28">
        <v>44037</v>
      </c>
      <c r="G1064" s="35">
        <v>-44037</v>
      </c>
      <c r="H1064" s="78"/>
    </row>
    <row r="1065" spans="1:8" ht="13.5" hidden="1" customHeight="1" x14ac:dyDescent="0.3">
      <c r="A1065" s="114">
        <v>44943</v>
      </c>
      <c r="E1065" s="28">
        <v>0</v>
      </c>
      <c r="G1065" s="35">
        <v>0</v>
      </c>
      <c r="H1065" s="58"/>
    </row>
    <row r="1066" spans="1:8" ht="13.5" hidden="1" customHeight="1" x14ac:dyDescent="0.3">
      <c r="A1066" s="114">
        <v>44944</v>
      </c>
      <c r="E1066" s="28">
        <v>0</v>
      </c>
      <c r="F1066" s="28">
        <v>23884</v>
      </c>
      <c r="G1066" s="35">
        <v>-23884</v>
      </c>
      <c r="H1066" s="58"/>
    </row>
    <row r="1067" spans="1:8" ht="13.5" hidden="1" customHeight="1" x14ac:dyDescent="0.3">
      <c r="A1067" s="114">
        <v>44945</v>
      </c>
      <c r="E1067" s="28">
        <v>0</v>
      </c>
      <c r="F1067" s="28">
        <v>9790</v>
      </c>
      <c r="G1067" s="35">
        <v>-9790</v>
      </c>
      <c r="H1067" s="58"/>
    </row>
    <row r="1068" spans="1:8" ht="13.5" hidden="1" customHeight="1" x14ac:dyDescent="0.3">
      <c r="A1068" s="114">
        <v>44946</v>
      </c>
      <c r="D1068" s="28">
        <v>34400</v>
      </c>
      <c r="E1068" s="28">
        <v>34400</v>
      </c>
      <c r="F1068" s="28">
        <v>28042</v>
      </c>
      <c r="G1068" s="35">
        <v>6358</v>
      </c>
      <c r="H1068" s="58" t="s">
        <v>159</v>
      </c>
    </row>
    <row r="1069" spans="1:8" ht="13.5" hidden="1" customHeight="1" x14ac:dyDescent="0.3">
      <c r="A1069" s="114">
        <v>44947</v>
      </c>
      <c r="D1069" s="28">
        <v>350900</v>
      </c>
      <c r="E1069" s="28">
        <v>350900</v>
      </c>
      <c r="F1069" s="28">
        <v>32254</v>
      </c>
      <c r="G1069" s="35">
        <v>318646</v>
      </c>
      <c r="H1069" s="58" t="s">
        <v>160</v>
      </c>
    </row>
    <row r="1070" spans="1:8" ht="13.5" hidden="1" customHeight="1" x14ac:dyDescent="0.3">
      <c r="A1070" s="114">
        <v>44948</v>
      </c>
      <c r="E1070" s="28">
        <v>0</v>
      </c>
      <c r="F1070" s="28">
        <v>31517.63</v>
      </c>
      <c r="G1070" s="35">
        <v>-31517.63</v>
      </c>
      <c r="H1070" s="58"/>
    </row>
    <row r="1071" spans="1:8" ht="13.5" hidden="1" customHeight="1" x14ac:dyDescent="0.3">
      <c r="A1071" s="114">
        <v>44949</v>
      </c>
      <c r="D1071" s="28">
        <v>40000</v>
      </c>
      <c r="E1071" s="28">
        <v>40000</v>
      </c>
      <c r="F1071" s="28">
        <v>72000</v>
      </c>
      <c r="G1071" s="35">
        <v>-32000</v>
      </c>
      <c r="H1071" s="58"/>
    </row>
    <row r="1072" spans="1:8" ht="13.5" hidden="1" customHeight="1" x14ac:dyDescent="0.3">
      <c r="A1072" s="114">
        <v>44950</v>
      </c>
      <c r="D1072" s="28">
        <v>30100</v>
      </c>
      <c r="E1072" s="28">
        <v>30100</v>
      </c>
      <c r="F1072" s="28">
        <v>16000</v>
      </c>
      <c r="G1072" s="35">
        <v>14100</v>
      </c>
      <c r="H1072" s="58" t="s">
        <v>158</v>
      </c>
    </row>
    <row r="1073" spans="1:8" ht="13.5" hidden="1" customHeight="1" x14ac:dyDescent="0.3">
      <c r="A1073" s="114">
        <v>44951</v>
      </c>
      <c r="E1073" s="28">
        <v>0</v>
      </c>
      <c r="F1073" s="28">
        <v>35065</v>
      </c>
      <c r="G1073" s="35">
        <v>-35065</v>
      </c>
    </row>
    <row r="1074" spans="1:8" ht="13.5" hidden="1" customHeight="1" x14ac:dyDescent="0.3">
      <c r="A1074" s="114">
        <v>44952</v>
      </c>
      <c r="E1074" s="28">
        <v>0</v>
      </c>
      <c r="F1074" s="28">
        <v>20279</v>
      </c>
      <c r="G1074" s="35">
        <v>-20279</v>
      </c>
    </row>
    <row r="1075" spans="1:8" ht="13.5" hidden="1" customHeight="1" x14ac:dyDescent="0.3">
      <c r="A1075" s="114">
        <v>44953</v>
      </c>
      <c r="D1075" s="28">
        <v>365500</v>
      </c>
      <c r="E1075" s="28">
        <v>365500</v>
      </c>
      <c r="F1075" s="28">
        <v>66670</v>
      </c>
      <c r="G1075" s="35">
        <v>298830</v>
      </c>
    </row>
    <row r="1076" spans="1:8" ht="13.5" hidden="1" customHeight="1" x14ac:dyDescent="0.3">
      <c r="A1076" s="114">
        <v>44954</v>
      </c>
      <c r="D1076" s="28">
        <v>71400</v>
      </c>
      <c r="E1076" s="28">
        <v>71400</v>
      </c>
      <c r="F1076" s="28">
        <v>17110</v>
      </c>
      <c r="G1076" s="35">
        <v>54290</v>
      </c>
    </row>
    <row r="1077" spans="1:8" ht="13.5" hidden="1" customHeight="1" x14ac:dyDescent="0.3">
      <c r="A1077" s="114">
        <v>44955</v>
      </c>
      <c r="D1077" s="28">
        <v>196900</v>
      </c>
      <c r="E1077" s="28">
        <v>196900</v>
      </c>
      <c r="F1077" s="28">
        <v>11100</v>
      </c>
      <c r="G1077" s="35">
        <v>185800</v>
      </c>
    </row>
    <row r="1078" spans="1:8" ht="13.5" hidden="1" customHeight="1" x14ac:dyDescent="0.3">
      <c r="A1078" s="114">
        <v>44956</v>
      </c>
      <c r="E1078" s="28">
        <v>0</v>
      </c>
      <c r="F1078" s="28">
        <v>9750</v>
      </c>
      <c r="G1078" s="35">
        <v>-9750</v>
      </c>
    </row>
    <row r="1079" spans="1:8" ht="13.5" hidden="1" customHeight="1" x14ac:dyDescent="0.3">
      <c r="A1079" s="114">
        <v>44957</v>
      </c>
      <c r="E1079" s="28">
        <v>0</v>
      </c>
      <c r="G1079" s="35">
        <v>0</v>
      </c>
    </row>
    <row r="1080" spans="1:8" ht="13.5" hidden="1" customHeight="1" x14ac:dyDescent="0.3">
      <c r="A1080" s="118" t="s">
        <v>31</v>
      </c>
      <c r="B1080" s="28">
        <v>0</v>
      </c>
      <c r="C1080" s="28">
        <v>154400</v>
      </c>
      <c r="D1080" s="28">
        <v>1265500</v>
      </c>
      <c r="E1080" s="28">
        <v>1419900</v>
      </c>
      <c r="F1080" s="28">
        <v>596698.63</v>
      </c>
      <c r="G1080" s="35">
        <v>823201.37</v>
      </c>
    </row>
    <row r="1081" spans="1:8" ht="13.5" hidden="1" customHeight="1" thickBot="1" x14ac:dyDescent="0.35"/>
    <row r="1082" spans="1:8" ht="15" hidden="1" customHeight="1" thickBot="1" x14ac:dyDescent="0.35">
      <c r="A1082" s="113" t="s">
        <v>4</v>
      </c>
      <c r="B1082" s="103" t="s">
        <v>6</v>
      </c>
      <c r="C1082" s="103" t="s">
        <v>7</v>
      </c>
      <c r="D1082" s="103" t="s">
        <v>109</v>
      </c>
      <c r="E1082" s="103" t="s">
        <v>8</v>
      </c>
      <c r="F1082" s="103" t="s">
        <v>9</v>
      </c>
      <c r="G1082" s="103" t="s">
        <v>0</v>
      </c>
    </row>
    <row r="1083" spans="1:8" ht="14.1" hidden="1" customHeight="1" x14ac:dyDescent="0.3">
      <c r="A1083" s="114">
        <v>44896</v>
      </c>
      <c r="D1083" s="28">
        <v>944000</v>
      </c>
      <c r="E1083" s="28">
        <v>944000</v>
      </c>
      <c r="F1083" s="28">
        <v>226083</v>
      </c>
      <c r="G1083" s="35">
        <v>717917</v>
      </c>
    </row>
    <row r="1084" spans="1:8" ht="14.1" hidden="1" customHeight="1" x14ac:dyDescent="0.3">
      <c r="A1084" s="114">
        <v>44897</v>
      </c>
      <c r="E1084" s="28">
        <v>0</v>
      </c>
      <c r="G1084" s="35">
        <v>0</v>
      </c>
    </row>
    <row r="1085" spans="1:8" ht="14.1" hidden="1" customHeight="1" x14ac:dyDescent="0.3">
      <c r="A1085" s="114">
        <v>44898</v>
      </c>
      <c r="D1085" s="28">
        <v>234500</v>
      </c>
      <c r="E1085" s="28">
        <v>234500</v>
      </c>
      <c r="F1085" s="28">
        <v>36630</v>
      </c>
      <c r="G1085" s="35">
        <v>197870</v>
      </c>
      <c r="H1085" s="54" t="s">
        <v>130</v>
      </c>
    </row>
    <row r="1086" spans="1:8" ht="14.1" hidden="1" customHeight="1" x14ac:dyDescent="0.3">
      <c r="A1086" s="114">
        <v>44899</v>
      </c>
      <c r="E1086" s="28">
        <v>0</v>
      </c>
      <c r="G1086" s="35">
        <v>0</v>
      </c>
      <c r="H1086" s="54" t="s">
        <v>129</v>
      </c>
    </row>
    <row r="1087" spans="1:8" ht="14.1" hidden="1" customHeight="1" x14ac:dyDescent="0.3">
      <c r="A1087" s="114">
        <v>44900</v>
      </c>
      <c r="E1087" s="28">
        <v>0</v>
      </c>
      <c r="F1087" s="28">
        <v>12000</v>
      </c>
      <c r="G1087" s="35">
        <v>-12000</v>
      </c>
    </row>
    <row r="1088" spans="1:8" ht="14.1" hidden="1" customHeight="1" x14ac:dyDescent="0.3">
      <c r="A1088" s="114">
        <v>44901</v>
      </c>
      <c r="D1088" s="28">
        <v>100000</v>
      </c>
      <c r="E1088" s="28">
        <v>100000</v>
      </c>
      <c r="F1088" s="28">
        <v>84493</v>
      </c>
      <c r="G1088" s="35">
        <v>15507</v>
      </c>
    </row>
    <row r="1089" spans="1:8" ht="14.1" hidden="1" customHeight="1" x14ac:dyDescent="0.3">
      <c r="A1089" s="114">
        <v>44902</v>
      </c>
      <c r="D1089" s="28">
        <v>115800</v>
      </c>
      <c r="E1089" s="28">
        <v>115800</v>
      </c>
      <c r="F1089" s="28">
        <v>144600</v>
      </c>
      <c r="G1089" s="35">
        <v>-28800</v>
      </c>
    </row>
    <row r="1090" spans="1:8" ht="14.1" hidden="1" customHeight="1" x14ac:dyDescent="0.3">
      <c r="A1090" s="114">
        <v>44903</v>
      </c>
      <c r="E1090" s="28">
        <v>0</v>
      </c>
      <c r="F1090" s="28">
        <v>33994</v>
      </c>
      <c r="G1090" s="35">
        <v>-33994</v>
      </c>
    </row>
    <row r="1091" spans="1:8" ht="14.1" hidden="1" customHeight="1" x14ac:dyDescent="0.3">
      <c r="A1091" s="114">
        <v>44904</v>
      </c>
      <c r="E1091" s="28">
        <v>0</v>
      </c>
      <c r="F1091" s="28">
        <v>130494</v>
      </c>
      <c r="G1091" s="35">
        <v>-130494</v>
      </c>
    </row>
    <row r="1092" spans="1:8" ht="14.1" hidden="1" customHeight="1" x14ac:dyDescent="0.3">
      <c r="A1092" s="114">
        <v>44905</v>
      </c>
      <c r="E1092" s="28">
        <v>0</v>
      </c>
      <c r="F1092" s="28">
        <v>81870</v>
      </c>
      <c r="G1092" s="35">
        <v>-81870</v>
      </c>
    </row>
    <row r="1093" spans="1:8" ht="14.1" hidden="1" customHeight="1" x14ac:dyDescent="0.3">
      <c r="A1093" s="114">
        <v>44906</v>
      </c>
      <c r="E1093" s="28">
        <v>0</v>
      </c>
      <c r="F1093" s="28">
        <v>149983</v>
      </c>
      <c r="G1093" s="35">
        <v>-149983</v>
      </c>
    </row>
    <row r="1094" spans="1:8" ht="14.1" hidden="1" customHeight="1" x14ac:dyDescent="0.3">
      <c r="A1094" s="114">
        <v>44907</v>
      </c>
      <c r="D1094" s="28">
        <v>46000</v>
      </c>
      <c r="E1094" s="28">
        <v>46000</v>
      </c>
      <c r="F1094" s="28">
        <v>85000</v>
      </c>
      <c r="G1094" s="35">
        <v>-39000</v>
      </c>
    </row>
    <row r="1095" spans="1:8" ht="14.1" hidden="1" customHeight="1" x14ac:dyDescent="0.3">
      <c r="A1095" s="114">
        <v>44908</v>
      </c>
      <c r="E1095" s="28">
        <v>0</v>
      </c>
      <c r="F1095" s="28">
        <v>162382</v>
      </c>
      <c r="G1095" s="35">
        <v>-162382</v>
      </c>
    </row>
    <row r="1096" spans="1:8" ht="14.1" hidden="1" customHeight="1" x14ac:dyDescent="0.3">
      <c r="A1096" s="114">
        <v>44909</v>
      </c>
      <c r="D1096" s="28">
        <v>178500</v>
      </c>
      <c r="E1096" s="28">
        <v>178500</v>
      </c>
      <c r="F1096" s="28">
        <v>168316</v>
      </c>
      <c r="G1096" s="35">
        <v>10184</v>
      </c>
    </row>
    <row r="1097" spans="1:8" ht="14.1" hidden="1" customHeight="1" x14ac:dyDescent="0.3">
      <c r="A1097" s="114">
        <v>44910</v>
      </c>
      <c r="D1097" s="28">
        <v>669600</v>
      </c>
      <c r="E1097" s="28">
        <v>669600</v>
      </c>
      <c r="F1097" s="28">
        <v>14006</v>
      </c>
      <c r="G1097" s="35">
        <v>655594</v>
      </c>
    </row>
    <row r="1098" spans="1:8" ht="14.1" hidden="1" customHeight="1" x14ac:dyDescent="0.3">
      <c r="A1098" s="114">
        <v>44911</v>
      </c>
      <c r="D1098" s="28">
        <v>779500</v>
      </c>
      <c r="E1098" s="28">
        <v>779500</v>
      </c>
      <c r="F1098" s="28">
        <v>72877</v>
      </c>
      <c r="G1098" s="35">
        <v>706623</v>
      </c>
      <c r="H1098" s="54" t="s">
        <v>131</v>
      </c>
    </row>
    <row r="1099" spans="1:8" ht="14.1" hidden="1" customHeight="1" x14ac:dyDescent="0.3">
      <c r="A1099" s="114">
        <v>44912</v>
      </c>
      <c r="E1099" s="28">
        <v>0</v>
      </c>
      <c r="F1099" s="28">
        <v>107040</v>
      </c>
      <c r="G1099" s="35">
        <v>-107040</v>
      </c>
    </row>
    <row r="1100" spans="1:8" ht="14.1" hidden="1" customHeight="1" x14ac:dyDescent="0.3">
      <c r="A1100" s="114">
        <v>44913</v>
      </c>
      <c r="E1100" s="28">
        <v>0</v>
      </c>
      <c r="F1100" s="28">
        <v>108330</v>
      </c>
      <c r="G1100" s="35">
        <v>-108330</v>
      </c>
    </row>
    <row r="1101" spans="1:8" ht="14.1" hidden="1" customHeight="1" x14ac:dyDescent="0.3">
      <c r="A1101" s="114">
        <v>44914</v>
      </c>
      <c r="D1101" s="28">
        <v>8500</v>
      </c>
      <c r="E1101" s="28">
        <v>8500</v>
      </c>
      <c r="F1101" s="28">
        <v>47700</v>
      </c>
      <c r="G1101" s="35">
        <v>-39200</v>
      </c>
    </row>
    <row r="1102" spans="1:8" ht="14.1" hidden="1" customHeight="1" x14ac:dyDescent="0.3">
      <c r="A1102" s="114">
        <v>44915</v>
      </c>
      <c r="D1102" s="28">
        <v>143800</v>
      </c>
      <c r="E1102" s="28">
        <v>143800</v>
      </c>
      <c r="F1102" s="28">
        <v>245725</v>
      </c>
      <c r="G1102" s="35">
        <v>-101925</v>
      </c>
    </row>
    <row r="1103" spans="1:8" ht="14.1" hidden="1" customHeight="1" x14ac:dyDescent="0.3">
      <c r="A1103" s="114">
        <v>44916</v>
      </c>
      <c r="D1103" s="28">
        <v>549900</v>
      </c>
      <c r="E1103" s="28">
        <v>549900</v>
      </c>
      <c r="F1103" s="28">
        <v>57572</v>
      </c>
      <c r="G1103" s="35">
        <v>492328</v>
      </c>
    </row>
    <row r="1104" spans="1:8" ht="14.1" hidden="1" customHeight="1" x14ac:dyDescent="0.3">
      <c r="A1104" s="114">
        <v>44917</v>
      </c>
      <c r="D1104" s="28">
        <v>336700</v>
      </c>
      <c r="E1104" s="28">
        <v>336700</v>
      </c>
      <c r="F1104" s="28">
        <v>47000</v>
      </c>
      <c r="G1104" s="35">
        <v>289700</v>
      </c>
    </row>
    <row r="1105" spans="1:9" ht="14.1" hidden="1" customHeight="1" x14ac:dyDescent="0.3">
      <c r="A1105" s="114">
        <v>44918</v>
      </c>
      <c r="D1105" s="28">
        <v>167800</v>
      </c>
      <c r="E1105" s="28">
        <v>167800</v>
      </c>
      <c r="F1105" s="28">
        <v>102138</v>
      </c>
      <c r="G1105" s="35">
        <v>65662</v>
      </c>
    </row>
    <row r="1106" spans="1:9" ht="14.1" hidden="1" customHeight="1" x14ac:dyDescent="0.3">
      <c r="A1106" s="114">
        <v>44919</v>
      </c>
      <c r="D1106" s="28">
        <v>631300</v>
      </c>
      <c r="E1106" s="28">
        <v>631300</v>
      </c>
      <c r="F1106" s="28">
        <v>93654</v>
      </c>
      <c r="G1106" s="35">
        <v>537646</v>
      </c>
      <c r="H1106" s="54" t="s">
        <v>156</v>
      </c>
    </row>
    <row r="1107" spans="1:9" ht="14.1" hidden="1" customHeight="1" x14ac:dyDescent="0.3">
      <c r="A1107" s="114">
        <v>44920</v>
      </c>
      <c r="E1107" s="28">
        <v>0</v>
      </c>
      <c r="G1107" s="35">
        <v>0</v>
      </c>
      <c r="H1107" s="54" t="s">
        <v>132</v>
      </c>
    </row>
    <row r="1108" spans="1:9" ht="14.1" hidden="1" customHeight="1" x14ac:dyDescent="0.3">
      <c r="A1108" s="114">
        <v>44921</v>
      </c>
      <c r="E1108" s="28">
        <v>0</v>
      </c>
      <c r="G1108" s="35">
        <v>0</v>
      </c>
    </row>
    <row r="1109" spans="1:9" ht="14.1" hidden="1" customHeight="1" x14ac:dyDescent="0.3">
      <c r="A1109" s="114">
        <v>44922</v>
      </c>
      <c r="E1109" s="28">
        <v>0</v>
      </c>
      <c r="F1109" s="28">
        <v>171870</v>
      </c>
      <c r="G1109" s="35">
        <v>-171870</v>
      </c>
    </row>
    <row r="1110" spans="1:9" ht="14.1" hidden="1" customHeight="1" x14ac:dyDescent="0.3">
      <c r="A1110" s="114">
        <v>44923</v>
      </c>
      <c r="E1110" s="28">
        <v>0</v>
      </c>
      <c r="F1110" s="28">
        <v>50290</v>
      </c>
      <c r="G1110" s="35">
        <v>-50290</v>
      </c>
    </row>
    <row r="1111" spans="1:9" ht="14.1" hidden="1" customHeight="1" x14ac:dyDescent="0.3">
      <c r="A1111" s="114">
        <v>44924</v>
      </c>
      <c r="E1111" s="28">
        <v>0</v>
      </c>
      <c r="F1111" s="28">
        <v>40664</v>
      </c>
      <c r="G1111" s="35">
        <v>-40664</v>
      </c>
    </row>
    <row r="1112" spans="1:9" ht="14.1" hidden="1" customHeight="1" x14ac:dyDescent="0.3">
      <c r="A1112" s="114">
        <v>44925</v>
      </c>
      <c r="D1112" s="28">
        <v>670400</v>
      </c>
      <c r="E1112" s="28">
        <v>670400</v>
      </c>
      <c r="G1112" s="35">
        <v>670400</v>
      </c>
      <c r="H1112" s="54" t="s">
        <v>133</v>
      </c>
    </row>
    <row r="1113" spans="1:9" ht="14.1" hidden="1" customHeight="1" x14ac:dyDescent="0.3">
      <c r="A1113" s="114">
        <v>44926</v>
      </c>
      <c r="E1113" s="28">
        <v>0</v>
      </c>
      <c r="G1113" s="35">
        <v>0</v>
      </c>
      <c r="H1113" s="54" t="s">
        <v>134</v>
      </c>
    </row>
    <row r="1114" spans="1:9" ht="15.75" hidden="1" customHeight="1" x14ac:dyDescent="0.3">
      <c r="A1114" s="118" t="s">
        <v>30</v>
      </c>
      <c r="B1114" s="28">
        <v>0</v>
      </c>
      <c r="C1114" s="28">
        <v>0</v>
      </c>
      <c r="D1114" s="28">
        <v>5576300</v>
      </c>
      <c r="E1114" s="28">
        <v>5576300</v>
      </c>
      <c r="F1114" s="28">
        <v>2474711</v>
      </c>
      <c r="G1114" s="35">
        <v>3101589</v>
      </c>
      <c r="H1114" s="248" t="s">
        <v>215</v>
      </c>
      <c r="I1114" s="248"/>
    </row>
    <row r="1115" spans="1:9" ht="14.1" hidden="1" customHeight="1" thickBot="1" x14ac:dyDescent="0.35"/>
    <row r="1116" spans="1:9" ht="14.1" hidden="1" customHeight="1" thickBot="1" x14ac:dyDescent="0.35">
      <c r="A1116" s="113" t="s">
        <v>4</v>
      </c>
      <c r="B1116" s="103" t="s">
        <v>6</v>
      </c>
      <c r="C1116" s="103" t="s">
        <v>7</v>
      </c>
      <c r="D1116" s="103" t="s">
        <v>109</v>
      </c>
      <c r="E1116" s="103" t="s">
        <v>8</v>
      </c>
      <c r="F1116" s="103" t="s">
        <v>9</v>
      </c>
      <c r="G1116" s="103" t="s">
        <v>0</v>
      </c>
    </row>
    <row r="1117" spans="1:9" ht="14.1" hidden="1" customHeight="1" x14ac:dyDescent="0.3">
      <c r="A1117" s="114">
        <v>44866</v>
      </c>
      <c r="D1117" s="28">
        <v>23000</v>
      </c>
      <c r="E1117" s="28">
        <v>23000</v>
      </c>
      <c r="G1117" s="35">
        <v>23000</v>
      </c>
    </row>
    <row r="1118" spans="1:9" ht="14.1" hidden="1" customHeight="1" x14ac:dyDescent="0.3">
      <c r="A1118" s="114">
        <v>44867</v>
      </c>
      <c r="E1118" s="28">
        <v>0</v>
      </c>
      <c r="F1118" s="28">
        <v>54487</v>
      </c>
      <c r="G1118" s="35">
        <v>-54487</v>
      </c>
    </row>
    <row r="1119" spans="1:9" ht="14.1" hidden="1" customHeight="1" x14ac:dyDescent="0.3">
      <c r="A1119" s="114">
        <v>44868</v>
      </c>
      <c r="E1119" s="28">
        <v>0</v>
      </c>
      <c r="F1119" s="28">
        <v>132551</v>
      </c>
      <c r="G1119" s="35">
        <v>-132551</v>
      </c>
    </row>
    <row r="1120" spans="1:9" ht="14.1" hidden="1" customHeight="1" x14ac:dyDescent="0.3">
      <c r="A1120" s="114">
        <v>44869</v>
      </c>
      <c r="D1120" s="28">
        <v>56000</v>
      </c>
      <c r="E1120" s="28">
        <v>56000</v>
      </c>
      <c r="F1120" s="28">
        <v>43220</v>
      </c>
      <c r="G1120" s="35">
        <v>12780</v>
      </c>
    </row>
    <row r="1121" spans="1:7" ht="14.1" hidden="1" customHeight="1" x14ac:dyDescent="0.3">
      <c r="A1121" s="114">
        <v>44870</v>
      </c>
      <c r="D1121" s="28">
        <v>294250</v>
      </c>
      <c r="E1121" s="28">
        <v>294250</v>
      </c>
      <c r="G1121" s="35">
        <v>294250</v>
      </c>
    </row>
    <row r="1122" spans="1:7" ht="14.1" hidden="1" customHeight="1" x14ac:dyDescent="0.3">
      <c r="A1122" s="114">
        <v>44871</v>
      </c>
      <c r="E1122" s="28">
        <v>0</v>
      </c>
      <c r="G1122" s="35">
        <v>0</v>
      </c>
    </row>
    <row r="1123" spans="1:7" ht="14.1" hidden="1" customHeight="1" x14ac:dyDescent="0.3">
      <c r="A1123" s="114">
        <v>44872</v>
      </c>
      <c r="E1123" s="28">
        <v>0</v>
      </c>
      <c r="F1123" s="28">
        <v>10000</v>
      </c>
      <c r="G1123" s="35">
        <v>-10000</v>
      </c>
    </row>
    <row r="1124" spans="1:7" ht="14.1" hidden="1" customHeight="1" x14ac:dyDescent="0.3">
      <c r="A1124" s="114">
        <v>44873</v>
      </c>
      <c r="E1124" s="28">
        <v>0</v>
      </c>
      <c r="F1124" s="28">
        <v>32982</v>
      </c>
      <c r="G1124" s="35">
        <v>-32982</v>
      </c>
    </row>
    <row r="1125" spans="1:7" ht="14.1" hidden="1" customHeight="1" x14ac:dyDescent="0.3">
      <c r="A1125" s="114">
        <v>44874</v>
      </c>
      <c r="E1125" s="28">
        <v>0</v>
      </c>
      <c r="F1125" s="28">
        <v>28640</v>
      </c>
      <c r="G1125" s="35">
        <v>-28640</v>
      </c>
    </row>
    <row r="1126" spans="1:7" ht="14.1" hidden="1" customHeight="1" x14ac:dyDescent="0.3">
      <c r="A1126" s="114">
        <v>44875</v>
      </c>
      <c r="E1126" s="28">
        <v>0</v>
      </c>
      <c r="G1126" s="35">
        <v>0</v>
      </c>
    </row>
    <row r="1127" spans="1:7" ht="14.1" hidden="1" customHeight="1" x14ac:dyDescent="0.3">
      <c r="A1127" s="114">
        <v>44876</v>
      </c>
      <c r="E1127" s="28">
        <v>0</v>
      </c>
      <c r="F1127" s="28">
        <v>5147</v>
      </c>
      <c r="G1127" s="35">
        <v>-5147</v>
      </c>
    </row>
    <row r="1128" spans="1:7" ht="14.1" hidden="1" customHeight="1" x14ac:dyDescent="0.3">
      <c r="A1128" s="114">
        <v>44877</v>
      </c>
      <c r="D1128" s="28">
        <v>95400</v>
      </c>
      <c r="E1128" s="28">
        <v>95400</v>
      </c>
      <c r="F1128" s="28">
        <v>2000</v>
      </c>
      <c r="G1128" s="35">
        <v>93400</v>
      </c>
    </row>
    <row r="1129" spans="1:7" ht="14.1" hidden="1" customHeight="1" x14ac:dyDescent="0.3">
      <c r="A1129" s="114">
        <v>44878</v>
      </c>
      <c r="E1129" s="28">
        <v>0</v>
      </c>
      <c r="F1129" s="28">
        <v>9340</v>
      </c>
      <c r="G1129" s="35">
        <v>-9340</v>
      </c>
    </row>
    <row r="1130" spans="1:7" ht="14.1" hidden="1" customHeight="1" x14ac:dyDescent="0.3">
      <c r="A1130" s="114">
        <v>44879</v>
      </c>
      <c r="D1130" s="28">
        <v>184450</v>
      </c>
      <c r="E1130" s="28">
        <v>184450</v>
      </c>
      <c r="F1130" s="28">
        <v>34562</v>
      </c>
      <c r="G1130" s="35">
        <v>149888</v>
      </c>
    </row>
    <row r="1131" spans="1:7" ht="14.1" hidden="1" customHeight="1" x14ac:dyDescent="0.3">
      <c r="A1131" s="114">
        <v>44880</v>
      </c>
      <c r="E1131" s="28">
        <v>0</v>
      </c>
      <c r="F1131" s="28">
        <v>1838</v>
      </c>
      <c r="G1131" s="35">
        <v>-1838</v>
      </c>
    </row>
    <row r="1132" spans="1:7" ht="14.1" hidden="1" customHeight="1" x14ac:dyDescent="0.3">
      <c r="A1132" s="114">
        <v>44881</v>
      </c>
      <c r="E1132" s="28">
        <v>0</v>
      </c>
      <c r="F1132" s="28">
        <f>58458+30000</f>
        <v>88458</v>
      </c>
      <c r="G1132" s="35">
        <f>F1132</f>
        <v>88458</v>
      </c>
    </row>
    <row r="1133" spans="1:7" ht="14.1" hidden="1" customHeight="1" x14ac:dyDescent="0.3">
      <c r="A1133" s="114">
        <v>44882</v>
      </c>
      <c r="E1133" s="28">
        <v>0</v>
      </c>
      <c r="F1133" s="28">
        <v>38928</v>
      </c>
      <c r="G1133" s="35">
        <v>-38928</v>
      </c>
    </row>
    <row r="1134" spans="1:7" ht="14.1" hidden="1" customHeight="1" x14ac:dyDescent="0.3">
      <c r="A1134" s="114">
        <v>44883</v>
      </c>
      <c r="E1134" s="28">
        <v>0</v>
      </c>
      <c r="F1134" s="28">
        <v>103879</v>
      </c>
      <c r="G1134" s="35">
        <v>-103879</v>
      </c>
    </row>
    <row r="1135" spans="1:7" ht="14.1" hidden="1" customHeight="1" x14ac:dyDescent="0.3">
      <c r="A1135" s="114">
        <v>44884</v>
      </c>
      <c r="D1135" s="28">
        <v>371990</v>
      </c>
      <c r="E1135" s="28">
        <v>371990</v>
      </c>
      <c r="F1135" s="28">
        <v>151078</v>
      </c>
      <c r="G1135" s="35">
        <v>220912</v>
      </c>
    </row>
    <row r="1136" spans="1:7" ht="14.1" hidden="1" customHeight="1" x14ac:dyDescent="0.3">
      <c r="A1136" s="114">
        <v>44885</v>
      </c>
      <c r="E1136" s="28">
        <v>0</v>
      </c>
      <c r="G1136" s="35">
        <v>0</v>
      </c>
    </row>
    <row r="1137" spans="1:10" ht="14.1" hidden="1" customHeight="1" x14ac:dyDescent="0.3">
      <c r="A1137" s="114">
        <v>44886</v>
      </c>
      <c r="E1137" s="28">
        <v>0</v>
      </c>
      <c r="F1137" s="28">
        <v>26258</v>
      </c>
      <c r="G1137" s="35">
        <v>-26258</v>
      </c>
    </row>
    <row r="1138" spans="1:10" ht="14.1" hidden="1" customHeight="1" x14ac:dyDescent="0.3">
      <c r="A1138" s="114">
        <v>44887</v>
      </c>
      <c r="D1138" s="28">
        <v>184450</v>
      </c>
      <c r="E1138" s="28">
        <v>184450</v>
      </c>
      <c r="G1138" s="35">
        <v>184450</v>
      </c>
    </row>
    <row r="1139" spans="1:10" ht="14.1" hidden="1" customHeight="1" x14ac:dyDescent="0.3">
      <c r="A1139" s="114">
        <v>44888</v>
      </c>
      <c r="E1139" s="28">
        <v>0</v>
      </c>
      <c r="F1139" s="28">
        <v>107998</v>
      </c>
      <c r="G1139" s="35">
        <v>-107998</v>
      </c>
    </row>
    <row r="1140" spans="1:10" ht="14.1" hidden="1" customHeight="1" x14ac:dyDescent="0.3">
      <c r="A1140" s="114">
        <v>44889</v>
      </c>
      <c r="E1140" s="28">
        <v>0</v>
      </c>
      <c r="F1140" s="28">
        <v>26910</v>
      </c>
      <c r="G1140" s="35">
        <v>-26910</v>
      </c>
    </row>
    <row r="1141" spans="1:10" ht="14.1" hidden="1" customHeight="1" x14ac:dyDescent="0.3">
      <c r="A1141" s="114">
        <v>44890</v>
      </c>
      <c r="E1141" s="28">
        <v>0</v>
      </c>
      <c r="F1141" s="28">
        <v>19050</v>
      </c>
      <c r="G1141" s="35">
        <v>-19050</v>
      </c>
    </row>
    <row r="1142" spans="1:10" ht="14.1" hidden="1" customHeight="1" x14ac:dyDescent="0.3">
      <c r="A1142" s="114">
        <v>44891</v>
      </c>
      <c r="D1142" s="28">
        <v>30000</v>
      </c>
      <c r="E1142" s="28">
        <v>30000</v>
      </c>
      <c r="F1142" s="28">
        <v>55586</v>
      </c>
      <c r="G1142" s="35">
        <v>-25586</v>
      </c>
      <c r="H1142" s="58" t="s">
        <v>128</v>
      </c>
    </row>
    <row r="1143" spans="1:10" ht="14.1" hidden="1" customHeight="1" x14ac:dyDescent="0.3">
      <c r="A1143" s="114">
        <v>44892</v>
      </c>
      <c r="E1143" s="28">
        <v>0</v>
      </c>
      <c r="F1143" s="28">
        <v>17484</v>
      </c>
      <c r="G1143" s="35">
        <v>-17484</v>
      </c>
    </row>
    <row r="1144" spans="1:10" ht="14.1" hidden="1" customHeight="1" x14ac:dyDescent="0.3">
      <c r="A1144" s="114">
        <v>44893</v>
      </c>
      <c r="E1144" s="28">
        <v>0</v>
      </c>
      <c r="G1144" s="35">
        <v>0</v>
      </c>
      <c r="J1144" s="34"/>
    </row>
    <row r="1145" spans="1:10" ht="14.1" hidden="1" customHeight="1" x14ac:dyDescent="0.3">
      <c r="A1145" s="114">
        <v>44894</v>
      </c>
      <c r="D1145" s="28">
        <v>146550</v>
      </c>
      <c r="E1145" s="28">
        <v>146550</v>
      </c>
      <c r="F1145" s="28">
        <v>72019</v>
      </c>
      <c r="G1145" s="35">
        <v>74531</v>
      </c>
    </row>
    <row r="1146" spans="1:10" ht="14.1" hidden="1" customHeight="1" x14ac:dyDescent="0.3">
      <c r="A1146" s="114">
        <v>44895</v>
      </c>
      <c r="D1146" s="28">
        <v>17000</v>
      </c>
      <c r="E1146" s="28">
        <v>17000</v>
      </c>
      <c r="F1146" s="28">
        <v>23960</v>
      </c>
      <c r="G1146" s="35">
        <v>-6960</v>
      </c>
    </row>
    <row r="1147" spans="1:10" ht="14.1" hidden="1" customHeight="1" x14ac:dyDescent="0.3">
      <c r="E1147" s="28">
        <v>0</v>
      </c>
      <c r="G1147" s="35">
        <v>0</v>
      </c>
    </row>
    <row r="1148" spans="1:10" ht="14.1" hidden="1" customHeight="1" x14ac:dyDescent="0.3">
      <c r="A1148" s="118" t="s">
        <v>29</v>
      </c>
      <c r="B1148" s="28">
        <v>0</v>
      </c>
      <c r="C1148" s="28">
        <v>0</v>
      </c>
      <c r="D1148" s="28">
        <v>1403090</v>
      </c>
      <c r="E1148" s="28">
        <v>1403090</v>
      </c>
      <c r="F1148" s="28">
        <f>58458+1027917</f>
        <v>1086375</v>
      </c>
      <c r="G1148" s="35">
        <f>E1148-F1148</f>
        <v>316715</v>
      </c>
    </row>
    <row r="1149" spans="1:10" ht="14.1" hidden="1" customHeight="1" thickBot="1" x14ac:dyDescent="0.35"/>
    <row r="1150" spans="1:10" ht="14.1" hidden="1" customHeight="1" thickBot="1" x14ac:dyDescent="0.35">
      <c r="A1150" s="113" t="s">
        <v>4</v>
      </c>
      <c r="B1150" s="103" t="s">
        <v>6</v>
      </c>
      <c r="C1150" s="103" t="s">
        <v>7</v>
      </c>
      <c r="D1150" s="103" t="s">
        <v>109</v>
      </c>
      <c r="E1150" s="103" t="s">
        <v>8</v>
      </c>
      <c r="F1150" s="103" t="s">
        <v>9</v>
      </c>
      <c r="G1150" s="103" t="s">
        <v>0</v>
      </c>
    </row>
    <row r="1151" spans="1:10" ht="14.1" hidden="1" customHeight="1" x14ac:dyDescent="0.3">
      <c r="A1151" s="114">
        <v>44835</v>
      </c>
      <c r="D1151" s="28">
        <v>53000</v>
      </c>
      <c r="E1151" s="28">
        <v>53000</v>
      </c>
      <c r="F1151" s="28">
        <v>6250</v>
      </c>
      <c r="G1151" s="35">
        <f>E1151-F1151</f>
        <v>46750</v>
      </c>
    </row>
    <row r="1152" spans="1:10" ht="14.1" hidden="1" customHeight="1" x14ac:dyDescent="0.3">
      <c r="A1152" s="114">
        <v>44836</v>
      </c>
      <c r="D1152" s="28">
        <v>40600</v>
      </c>
      <c r="E1152" s="28">
        <v>40600</v>
      </c>
      <c r="F1152" s="28">
        <v>31327</v>
      </c>
      <c r="G1152" s="35">
        <f t="shared" ref="G1152:G1181" si="55">E1152-F1152</f>
        <v>9273</v>
      </c>
    </row>
    <row r="1153" spans="1:8" ht="14.1" hidden="1" customHeight="1" x14ac:dyDescent="0.3">
      <c r="A1153" s="114">
        <v>44837</v>
      </c>
      <c r="D1153" s="28">
        <v>82500</v>
      </c>
      <c r="E1153" s="28">
        <v>82500</v>
      </c>
      <c r="F1153" s="28">
        <v>2600</v>
      </c>
      <c r="G1153" s="35">
        <f t="shared" si="55"/>
        <v>79900</v>
      </c>
    </row>
    <row r="1154" spans="1:8" ht="14.1" hidden="1" customHeight="1" x14ac:dyDescent="0.3">
      <c r="A1154" s="114">
        <v>44838</v>
      </c>
      <c r="E1154" s="28">
        <v>0</v>
      </c>
      <c r="G1154" s="35">
        <f t="shared" si="55"/>
        <v>0</v>
      </c>
    </row>
    <row r="1155" spans="1:8" ht="14.1" hidden="1" customHeight="1" x14ac:dyDescent="0.3">
      <c r="A1155" s="114">
        <v>44839</v>
      </c>
      <c r="E1155" s="28">
        <v>0</v>
      </c>
      <c r="G1155" s="35">
        <f t="shared" si="55"/>
        <v>0</v>
      </c>
    </row>
    <row r="1156" spans="1:8" ht="14.1" hidden="1" customHeight="1" x14ac:dyDescent="0.3">
      <c r="A1156" s="114">
        <v>44840</v>
      </c>
      <c r="D1156" s="28">
        <v>18000</v>
      </c>
      <c r="E1156" s="28">
        <v>18000</v>
      </c>
      <c r="F1156" s="28">
        <v>29950</v>
      </c>
      <c r="G1156" s="35">
        <f t="shared" si="55"/>
        <v>-11950</v>
      </c>
    </row>
    <row r="1157" spans="1:8" ht="14.1" hidden="1" customHeight="1" x14ac:dyDescent="0.3">
      <c r="A1157" s="114">
        <v>44841</v>
      </c>
      <c r="E1157" s="28">
        <v>0</v>
      </c>
      <c r="F1157" s="28">
        <v>8609</v>
      </c>
      <c r="G1157" s="35">
        <f t="shared" si="55"/>
        <v>-8609</v>
      </c>
    </row>
    <row r="1158" spans="1:8" ht="14.1" hidden="1" customHeight="1" x14ac:dyDescent="0.3">
      <c r="A1158" s="114">
        <v>44842</v>
      </c>
      <c r="D1158" s="28">
        <v>169300</v>
      </c>
      <c r="E1158" s="28">
        <v>169300</v>
      </c>
      <c r="F1158" s="28">
        <v>11000</v>
      </c>
      <c r="G1158" s="35">
        <f t="shared" si="55"/>
        <v>158300</v>
      </c>
    </row>
    <row r="1159" spans="1:8" ht="14.1" hidden="1" customHeight="1" x14ac:dyDescent="0.3">
      <c r="A1159" s="114">
        <v>44843</v>
      </c>
      <c r="D1159" s="28">
        <v>32000</v>
      </c>
      <c r="E1159" s="28">
        <v>32000</v>
      </c>
      <c r="G1159" s="35">
        <f t="shared" si="55"/>
        <v>32000</v>
      </c>
    </row>
    <row r="1160" spans="1:8" ht="14.1" hidden="1" customHeight="1" x14ac:dyDescent="0.3">
      <c r="A1160" s="114">
        <v>44844</v>
      </c>
      <c r="D1160" s="28">
        <v>48600</v>
      </c>
      <c r="E1160" s="28">
        <v>48600</v>
      </c>
      <c r="F1160" s="28">
        <v>31958</v>
      </c>
      <c r="G1160" s="35">
        <f t="shared" si="55"/>
        <v>16642</v>
      </c>
    </row>
    <row r="1161" spans="1:8" ht="14.1" hidden="1" customHeight="1" x14ac:dyDescent="0.3">
      <c r="A1161" s="114">
        <v>44845</v>
      </c>
      <c r="E1161" s="28">
        <v>0</v>
      </c>
      <c r="G1161" s="35">
        <f t="shared" si="55"/>
        <v>0</v>
      </c>
    </row>
    <row r="1162" spans="1:8" ht="14.1" hidden="1" customHeight="1" x14ac:dyDescent="0.3">
      <c r="A1162" s="114">
        <v>44846</v>
      </c>
      <c r="D1162" s="28">
        <v>60000</v>
      </c>
      <c r="E1162" s="28">
        <v>60000</v>
      </c>
      <c r="F1162" s="28">
        <f>3169+11400</f>
        <v>14569</v>
      </c>
      <c r="G1162" s="35">
        <f t="shared" si="55"/>
        <v>45431</v>
      </c>
    </row>
    <row r="1163" spans="1:8" ht="14.1" hidden="1" customHeight="1" x14ac:dyDescent="0.3">
      <c r="A1163" s="114">
        <v>44847</v>
      </c>
      <c r="E1163" s="28">
        <v>0</v>
      </c>
      <c r="F1163" s="28">
        <v>20599</v>
      </c>
      <c r="G1163" s="35">
        <f t="shared" si="55"/>
        <v>-20599</v>
      </c>
    </row>
    <row r="1164" spans="1:8" ht="14.1" hidden="1" customHeight="1" x14ac:dyDescent="0.3">
      <c r="A1164" s="114">
        <v>44848</v>
      </c>
      <c r="D1164" s="28">
        <v>189500</v>
      </c>
      <c r="E1164" s="28">
        <v>189500</v>
      </c>
      <c r="G1164" s="35">
        <f t="shared" si="55"/>
        <v>189500</v>
      </c>
    </row>
    <row r="1165" spans="1:8" ht="14.1" hidden="1" customHeight="1" x14ac:dyDescent="0.3">
      <c r="A1165" s="114">
        <v>44849</v>
      </c>
      <c r="D1165" s="28">
        <v>73100</v>
      </c>
      <c r="E1165" s="28">
        <v>73100</v>
      </c>
      <c r="F1165" s="28">
        <v>17290</v>
      </c>
      <c r="G1165" s="35">
        <f t="shared" si="55"/>
        <v>55810</v>
      </c>
      <c r="H1165" s="58" t="s">
        <v>136</v>
      </c>
    </row>
    <row r="1166" spans="1:8" ht="14.1" hidden="1" customHeight="1" x14ac:dyDescent="0.3">
      <c r="A1166" s="114">
        <v>44850</v>
      </c>
      <c r="D1166" s="28">
        <v>52000</v>
      </c>
      <c r="E1166" s="28">
        <v>52000</v>
      </c>
      <c r="F1166" s="28">
        <v>24790</v>
      </c>
      <c r="G1166" s="35">
        <f t="shared" si="55"/>
        <v>27210</v>
      </c>
      <c r="H1166" s="58"/>
    </row>
    <row r="1167" spans="1:8" ht="14.1" hidden="1" customHeight="1" x14ac:dyDescent="0.3">
      <c r="A1167" s="114">
        <v>44851</v>
      </c>
      <c r="D1167" s="28">
        <v>34500</v>
      </c>
      <c r="E1167" s="28">
        <v>34500</v>
      </c>
      <c r="G1167" s="35">
        <f t="shared" si="55"/>
        <v>34500</v>
      </c>
      <c r="H1167" s="58" t="s">
        <v>137</v>
      </c>
    </row>
    <row r="1168" spans="1:8" ht="14.1" hidden="1" customHeight="1" x14ac:dyDescent="0.3">
      <c r="A1168" s="114">
        <v>44852</v>
      </c>
      <c r="D1168" s="28">
        <v>19000</v>
      </c>
      <c r="E1168" s="28">
        <v>19000</v>
      </c>
      <c r="F1168" s="28">
        <v>4900</v>
      </c>
      <c r="G1168" s="35">
        <f t="shared" si="55"/>
        <v>14100</v>
      </c>
      <c r="H1168" s="58" t="s">
        <v>138</v>
      </c>
    </row>
    <row r="1169" spans="1:8" ht="14.1" hidden="1" customHeight="1" x14ac:dyDescent="0.3">
      <c r="A1169" s="114">
        <v>44853</v>
      </c>
      <c r="E1169" s="28">
        <v>0</v>
      </c>
      <c r="G1169" s="35">
        <f t="shared" si="55"/>
        <v>0</v>
      </c>
      <c r="H1169" s="58"/>
    </row>
    <row r="1170" spans="1:8" ht="14.1" hidden="1" customHeight="1" x14ac:dyDescent="0.3">
      <c r="A1170" s="114">
        <v>44854</v>
      </c>
      <c r="D1170" s="28">
        <v>32000</v>
      </c>
      <c r="E1170" s="28">
        <v>32000</v>
      </c>
      <c r="F1170" s="28">
        <v>173022</v>
      </c>
      <c r="G1170" s="35">
        <f t="shared" si="55"/>
        <v>-141022</v>
      </c>
      <c r="H1170" s="58"/>
    </row>
    <row r="1171" spans="1:8" ht="14.1" hidden="1" customHeight="1" x14ac:dyDescent="0.3">
      <c r="A1171" s="114">
        <v>44855</v>
      </c>
      <c r="D1171" s="28">
        <v>422500</v>
      </c>
      <c r="E1171" s="28">
        <v>422500</v>
      </c>
      <c r="F1171" s="28">
        <v>128000</v>
      </c>
      <c r="G1171" s="35">
        <f t="shared" si="55"/>
        <v>294500</v>
      </c>
      <c r="H1171" s="58"/>
    </row>
    <row r="1172" spans="1:8" ht="14.1" hidden="1" customHeight="1" x14ac:dyDescent="0.3">
      <c r="A1172" s="114">
        <v>44856</v>
      </c>
      <c r="D1172" s="28">
        <v>24000</v>
      </c>
      <c r="E1172" s="28">
        <v>24000</v>
      </c>
      <c r="G1172" s="35">
        <f t="shared" si="55"/>
        <v>24000</v>
      </c>
      <c r="H1172" s="58"/>
    </row>
    <row r="1173" spans="1:8" ht="14.1" hidden="1" customHeight="1" x14ac:dyDescent="0.3">
      <c r="A1173" s="114">
        <v>44857</v>
      </c>
      <c r="E1173" s="28">
        <v>0</v>
      </c>
      <c r="F1173" s="28">
        <v>850</v>
      </c>
      <c r="G1173" s="35">
        <f t="shared" si="55"/>
        <v>-850</v>
      </c>
      <c r="H1173" s="58"/>
    </row>
    <row r="1174" spans="1:8" ht="14.1" hidden="1" customHeight="1" x14ac:dyDescent="0.3">
      <c r="A1174" s="114">
        <v>44858</v>
      </c>
      <c r="D1174" s="28">
        <v>330500</v>
      </c>
      <c r="E1174" s="28">
        <v>330500</v>
      </c>
      <c r="F1174" s="28">
        <v>50401</v>
      </c>
      <c r="G1174" s="35">
        <f t="shared" si="55"/>
        <v>280099</v>
      </c>
      <c r="H1174" s="58"/>
    </row>
    <row r="1175" spans="1:8" ht="14.1" hidden="1" customHeight="1" x14ac:dyDescent="0.3">
      <c r="A1175" s="114">
        <v>44859</v>
      </c>
      <c r="E1175" s="28">
        <v>0</v>
      </c>
      <c r="F1175" s="28">
        <f>500+1000+1320</f>
        <v>2820</v>
      </c>
      <c r="G1175" s="35">
        <f t="shared" si="55"/>
        <v>-2820</v>
      </c>
      <c r="H1175" s="58"/>
    </row>
    <row r="1176" spans="1:8" ht="14.1" hidden="1" customHeight="1" x14ac:dyDescent="0.3">
      <c r="A1176" s="114">
        <v>44860</v>
      </c>
      <c r="E1176" s="28">
        <v>0</v>
      </c>
      <c r="G1176" s="35">
        <f t="shared" si="55"/>
        <v>0</v>
      </c>
      <c r="H1176" s="58"/>
    </row>
    <row r="1177" spans="1:8" ht="14.1" hidden="1" customHeight="1" x14ac:dyDescent="0.3">
      <c r="A1177" s="114">
        <v>44861</v>
      </c>
      <c r="D1177" s="28">
        <v>17000</v>
      </c>
      <c r="E1177" s="28">
        <v>17000</v>
      </c>
      <c r="F1177" s="28">
        <v>35159</v>
      </c>
      <c r="G1177" s="35">
        <f t="shared" si="55"/>
        <v>-18159</v>
      </c>
      <c r="H1177" s="58" t="s">
        <v>124</v>
      </c>
    </row>
    <row r="1178" spans="1:8" ht="14.1" hidden="1" customHeight="1" x14ac:dyDescent="0.3">
      <c r="A1178" s="114">
        <v>44862</v>
      </c>
      <c r="D1178" s="28">
        <v>41200</v>
      </c>
      <c r="E1178" s="28">
        <v>41200</v>
      </c>
      <c r="F1178" s="28">
        <f>26558+7790</f>
        <v>34348</v>
      </c>
      <c r="G1178" s="35">
        <f t="shared" si="55"/>
        <v>6852</v>
      </c>
      <c r="H1178" s="58" t="s">
        <v>125</v>
      </c>
    </row>
    <row r="1179" spans="1:8" ht="14.1" hidden="1" customHeight="1" x14ac:dyDescent="0.3">
      <c r="A1179" s="114">
        <v>44863</v>
      </c>
      <c r="D1179" s="28">
        <v>291700</v>
      </c>
      <c r="E1179" s="28">
        <v>291700</v>
      </c>
      <c r="G1179" s="35">
        <f t="shared" si="55"/>
        <v>291700</v>
      </c>
      <c r="H1179" s="58" t="s">
        <v>126</v>
      </c>
    </row>
    <row r="1180" spans="1:8" ht="14.1" hidden="1" customHeight="1" x14ac:dyDescent="0.3">
      <c r="A1180" s="114">
        <v>44864</v>
      </c>
      <c r="D1180" s="28">
        <v>172700</v>
      </c>
      <c r="E1180" s="28">
        <v>172700</v>
      </c>
      <c r="F1180" s="28">
        <v>34637</v>
      </c>
      <c r="G1180" s="35">
        <f t="shared" si="55"/>
        <v>138063</v>
      </c>
      <c r="H1180" s="58" t="s">
        <v>127</v>
      </c>
    </row>
    <row r="1181" spans="1:8" ht="14.1" hidden="1" customHeight="1" x14ac:dyDescent="0.3">
      <c r="A1181" s="114">
        <v>44865</v>
      </c>
      <c r="E1181" s="28">
        <v>0</v>
      </c>
      <c r="G1181" s="35">
        <f t="shared" si="55"/>
        <v>0</v>
      </c>
      <c r="H1181" s="58"/>
    </row>
    <row r="1182" spans="1:8" ht="14.1" hidden="1" customHeight="1" x14ac:dyDescent="0.3">
      <c r="A1182" s="118" t="s">
        <v>28</v>
      </c>
      <c r="B1182" s="28">
        <v>0</v>
      </c>
      <c r="C1182" s="28">
        <v>0</v>
      </c>
      <c r="D1182" s="28">
        <v>2203700</v>
      </c>
      <c r="E1182" s="28">
        <v>2203700</v>
      </c>
      <c r="F1182" s="28">
        <f>SUM(F1151:F1181)</f>
        <v>663079</v>
      </c>
      <c r="G1182" s="35">
        <f>SUM(G1151:G1181)</f>
        <v>1540621</v>
      </c>
    </row>
    <row r="1183" spans="1:8" ht="14.1" hidden="1" customHeight="1" thickBot="1" x14ac:dyDescent="0.35"/>
    <row r="1184" spans="1:8" ht="14.1" hidden="1" customHeight="1" thickBot="1" x14ac:dyDescent="0.35">
      <c r="A1184" s="113" t="s">
        <v>4</v>
      </c>
      <c r="B1184" s="103" t="s">
        <v>6</v>
      </c>
      <c r="C1184" s="103" t="s">
        <v>7</v>
      </c>
      <c r="D1184" s="103" t="s">
        <v>109</v>
      </c>
      <c r="E1184" s="103" t="s">
        <v>8</v>
      </c>
      <c r="F1184" s="103" t="s">
        <v>9</v>
      </c>
      <c r="G1184" s="103" t="s">
        <v>0</v>
      </c>
    </row>
    <row r="1185" spans="1:8" ht="14.1" hidden="1" customHeight="1" x14ac:dyDescent="0.3">
      <c r="A1185" s="114">
        <v>44805</v>
      </c>
      <c r="B1185" s="28">
        <v>18800</v>
      </c>
      <c r="C1185" s="28">
        <v>30000</v>
      </c>
      <c r="D1185" s="28">
        <v>428400</v>
      </c>
      <c r="E1185" s="28">
        <v>477200</v>
      </c>
      <c r="G1185" s="35">
        <v>477200</v>
      </c>
      <c r="H1185" s="46" t="s">
        <v>110</v>
      </c>
    </row>
    <row r="1186" spans="1:8" ht="14.1" hidden="1" customHeight="1" x14ac:dyDescent="0.3">
      <c r="A1186" s="114">
        <v>44806</v>
      </c>
      <c r="C1186" s="28">
        <v>46800</v>
      </c>
      <c r="E1186" s="28">
        <v>46800</v>
      </c>
      <c r="F1186" s="28">
        <v>73831</v>
      </c>
      <c r="G1186" s="35">
        <v>-27031</v>
      </c>
      <c r="H1186" s="46" t="s">
        <v>111</v>
      </c>
    </row>
    <row r="1187" spans="1:8" ht="14.1" hidden="1" customHeight="1" x14ac:dyDescent="0.3">
      <c r="A1187" s="114">
        <v>44807</v>
      </c>
      <c r="C1187" s="28">
        <v>273850</v>
      </c>
      <c r="E1187" s="28">
        <v>273850</v>
      </c>
      <c r="F1187" s="28">
        <v>33530</v>
      </c>
      <c r="G1187" s="35">
        <v>240320</v>
      </c>
      <c r="H1187" s="46" t="s">
        <v>112</v>
      </c>
    </row>
    <row r="1188" spans="1:8" ht="14.1" hidden="1" customHeight="1" x14ac:dyDescent="0.3">
      <c r="A1188" s="114">
        <v>44808</v>
      </c>
      <c r="E1188" s="28">
        <v>0</v>
      </c>
      <c r="G1188" s="35">
        <v>0</v>
      </c>
      <c r="H1188" s="46" t="s">
        <v>113</v>
      </c>
    </row>
    <row r="1189" spans="1:8" ht="14.1" hidden="1" customHeight="1" x14ac:dyDescent="0.3">
      <c r="A1189" s="114">
        <v>44809</v>
      </c>
      <c r="C1189" s="28">
        <v>58100</v>
      </c>
      <c r="E1189" s="28">
        <v>58100</v>
      </c>
      <c r="G1189" s="35">
        <v>58100</v>
      </c>
      <c r="H1189" s="53" t="s">
        <v>115</v>
      </c>
    </row>
    <row r="1190" spans="1:8" ht="14.1" hidden="1" customHeight="1" x14ac:dyDescent="0.3">
      <c r="A1190" s="114">
        <v>44810</v>
      </c>
      <c r="E1190" s="28">
        <v>0</v>
      </c>
      <c r="F1190" s="28">
        <v>167109</v>
      </c>
      <c r="G1190" s="35">
        <v>-167109</v>
      </c>
    </row>
    <row r="1191" spans="1:8" ht="14.1" hidden="1" customHeight="1" x14ac:dyDescent="0.3">
      <c r="A1191" s="114">
        <v>44811</v>
      </c>
      <c r="E1191" s="28">
        <v>0</v>
      </c>
      <c r="F1191" s="28">
        <v>237238</v>
      </c>
      <c r="G1191" s="35">
        <v>-237238</v>
      </c>
    </row>
    <row r="1192" spans="1:8" ht="14.1" hidden="1" customHeight="1" x14ac:dyDescent="0.3">
      <c r="A1192" s="114">
        <v>44812</v>
      </c>
      <c r="E1192" s="28">
        <v>0</v>
      </c>
      <c r="F1192" s="28">
        <v>27500</v>
      </c>
      <c r="G1192" s="35">
        <v>-27500</v>
      </c>
    </row>
    <row r="1193" spans="1:8" ht="14.1" hidden="1" customHeight="1" x14ac:dyDescent="0.3">
      <c r="A1193" s="114">
        <v>44813</v>
      </c>
      <c r="C1193" s="28">
        <v>70000</v>
      </c>
      <c r="E1193" s="28">
        <v>70000</v>
      </c>
      <c r="F1193" s="28">
        <v>97938</v>
      </c>
      <c r="G1193" s="35">
        <v>-27938</v>
      </c>
    </row>
    <row r="1194" spans="1:8" ht="14.1" hidden="1" customHeight="1" x14ac:dyDescent="0.3">
      <c r="A1194" s="114">
        <v>44814</v>
      </c>
      <c r="C1194" s="28">
        <v>196600</v>
      </c>
      <c r="E1194" s="28">
        <v>196600</v>
      </c>
      <c r="F1194" s="28">
        <v>79876</v>
      </c>
      <c r="G1194" s="35">
        <v>116724</v>
      </c>
      <c r="H1194" s="53" t="s">
        <v>114</v>
      </c>
    </row>
    <row r="1195" spans="1:8" ht="14.1" hidden="1" customHeight="1" x14ac:dyDescent="0.3">
      <c r="A1195" s="114">
        <v>44815</v>
      </c>
      <c r="E1195" s="28">
        <v>0</v>
      </c>
      <c r="G1195" s="35">
        <v>0</v>
      </c>
      <c r="H1195" s="53"/>
    </row>
    <row r="1196" spans="1:8" ht="14.1" hidden="1" customHeight="1" x14ac:dyDescent="0.3">
      <c r="A1196" s="114">
        <v>44816</v>
      </c>
      <c r="E1196" s="28">
        <v>0</v>
      </c>
      <c r="F1196" s="28">
        <v>7683</v>
      </c>
      <c r="G1196" s="35">
        <v>7</v>
      </c>
      <c r="H1196" s="53"/>
    </row>
    <row r="1197" spans="1:8" ht="14.1" hidden="1" customHeight="1" x14ac:dyDescent="0.3">
      <c r="A1197" s="114">
        <v>44817</v>
      </c>
      <c r="D1197" s="28">
        <v>183500</v>
      </c>
      <c r="E1197" s="28">
        <v>183500</v>
      </c>
      <c r="F1197" s="28">
        <v>61880</v>
      </c>
      <c r="G1197" s="35">
        <v>121620</v>
      </c>
      <c r="H1197" s="53" t="s">
        <v>116</v>
      </c>
    </row>
    <row r="1198" spans="1:8" ht="14.1" hidden="1" customHeight="1" x14ac:dyDescent="0.3">
      <c r="A1198" s="114">
        <v>44818</v>
      </c>
      <c r="D1198" s="28">
        <v>915000</v>
      </c>
      <c r="E1198" s="28">
        <v>915000</v>
      </c>
      <c r="F1198" s="28">
        <v>50260</v>
      </c>
      <c r="G1198" s="35">
        <v>864740</v>
      </c>
      <c r="H1198" s="53" t="s">
        <v>117</v>
      </c>
    </row>
    <row r="1199" spans="1:8" ht="14.1" hidden="1" customHeight="1" x14ac:dyDescent="0.3">
      <c r="A1199" s="114">
        <v>44819</v>
      </c>
      <c r="D1199" s="28">
        <v>380200</v>
      </c>
      <c r="E1199" s="28">
        <v>380200</v>
      </c>
      <c r="F1199" s="28">
        <v>5670</v>
      </c>
      <c r="G1199" s="35">
        <v>374530</v>
      </c>
      <c r="H1199" s="53" t="s">
        <v>118</v>
      </c>
    </row>
    <row r="1200" spans="1:8" ht="14.1" hidden="1" customHeight="1" x14ac:dyDescent="0.3">
      <c r="A1200" s="114">
        <v>44820</v>
      </c>
      <c r="D1200" s="28">
        <v>170600</v>
      </c>
      <c r="E1200" s="28">
        <v>170600</v>
      </c>
      <c r="F1200" s="28">
        <v>35210</v>
      </c>
      <c r="G1200" s="35">
        <v>135390</v>
      </c>
      <c r="H1200" s="53" t="s">
        <v>119</v>
      </c>
    </row>
    <row r="1201" spans="1:8" ht="14.1" hidden="1" customHeight="1" x14ac:dyDescent="0.3">
      <c r="A1201" s="114">
        <v>44821</v>
      </c>
      <c r="D1201" s="28">
        <v>270200</v>
      </c>
      <c r="E1201" s="28">
        <v>270200</v>
      </c>
      <c r="F1201" s="28">
        <v>120000</v>
      </c>
      <c r="G1201" s="35">
        <v>150200</v>
      </c>
      <c r="H1201" s="53" t="s">
        <v>120</v>
      </c>
    </row>
    <row r="1202" spans="1:8" ht="14.1" hidden="1" customHeight="1" x14ac:dyDescent="0.3">
      <c r="A1202" s="114">
        <v>44822</v>
      </c>
      <c r="E1202" s="28">
        <v>0</v>
      </c>
      <c r="G1202" s="35">
        <v>0</v>
      </c>
      <c r="H1202" s="53"/>
    </row>
    <row r="1203" spans="1:8" ht="14.1" hidden="1" customHeight="1" x14ac:dyDescent="0.3">
      <c r="A1203" s="114">
        <v>44823</v>
      </c>
      <c r="E1203" s="28">
        <v>0</v>
      </c>
      <c r="G1203" s="35">
        <v>0</v>
      </c>
      <c r="H1203" s="53"/>
    </row>
    <row r="1204" spans="1:8" ht="14.1" hidden="1" customHeight="1" x14ac:dyDescent="0.3">
      <c r="A1204" s="114">
        <v>44824</v>
      </c>
      <c r="E1204" s="28">
        <v>0</v>
      </c>
      <c r="F1204" s="28">
        <v>50000</v>
      </c>
      <c r="G1204" s="35">
        <v>-50000</v>
      </c>
      <c r="H1204" s="53"/>
    </row>
    <row r="1205" spans="1:8" ht="14.1" hidden="1" customHeight="1" x14ac:dyDescent="0.3">
      <c r="A1205" s="114">
        <v>44825</v>
      </c>
      <c r="E1205" s="28">
        <v>0</v>
      </c>
      <c r="F1205" s="28">
        <v>20000</v>
      </c>
      <c r="G1205" s="35">
        <v>-20000</v>
      </c>
      <c r="H1205" s="53"/>
    </row>
    <row r="1206" spans="1:8" ht="14.1" hidden="1" customHeight="1" x14ac:dyDescent="0.3">
      <c r="A1206" s="114">
        <v>44826</v>
      </c>
      <c r="E1206" s="28">
        <v>0</v>
      </c>
      <c r="F1206" s="28">
        <v>32744</v>
      </c>
      <c r="G1206" s="35">
        <v>-32744</v>
      </c>
      <c r="H1206" s="53"/>
    </row>
    <row r="1207" spans="1:8" ht="14.1" hidden="1" customHeight="1" x14ac:dyDescent="0.3">
      <c r="A1207" s="114">
        <v>44827</v>
      </c>
      <c r="E1207" s="28">
        <v>0</v>
      </c>
      <c r="F1207" s="28">
        <f>24846+19030</f>
        <v>43876</v>
      </c>
      <c r="G1207" s="35">
        <v>-19030</v>
      </c>
      <c r="H1207" s="53" t="s">
        <v>122</v>
      </c>
    </row>
    <row r="1208" spans="1:8" ht="14.1" hidden="1" customHeight="1" x14ac:dyDescent="0.3">
      <c r="A1208" s="114">
        <v>44828</v>
      </c>
      <c r="E1208" s="28">
        <v>0</v>
      </c>
      <c r="G1208" s="35">
        <v>0</v>
      </c>
      <c r="H1208" s="53" t="s">
        <v>121</v>
      </c>
    </row>
    <row r="1209" spans="1:8" ht="14.1" hidden="1" customHeight="1" x14ac:dyDescent="0.3">
      <c r="A1209" s="114">
        <v>44829</v>
      </c>
      <c r="E1209" s="28">
        <v>0</v>
      </c>
      <c r="G1209" s="35">
        <v>0</v>
      </c>
      <c r="H1209" s="53" t="s">
        <v>123</v>
      </c>
    </row>
    <row r="1210" spans="1:8" ht="14.1" hidden="1" customHeight="1" x14ac:dyDescent="0.3">
      <c r="A1210" s="114">
        <v>44830</v>
      </c>
      <c r="E1210" s="28">
        <v>0</v>
      </c>
      <c r="G1210" s="35">
        <v>0</v>
      </c>
    </row>
    <row r="1211" spans="1:8" ht="14.1" hidden="1" customHeight="1" x14ac:dyDescent="0.3">
      <c r="A1211" s="114">
        <v>44831</v>
      </c>
      <c r="D1211" s="28">
        <v>70000</v>
      </c>
      <c r="E1211" s="28">
        <v>0</v>
      </c>
      <c r="F1211" s="28">
        <f>15090+23300</f>
        <v>38390</v>
      </c>
      <c r="G1211" s="35">
        <v>-23300</v>
      </c>
    </row>
    <row r="1212" spans="1:8" ht="14.1" hidden="1" customHeight="1" x14ac:dyDescent="0.3">
      <c r="A1212" s="114">
        <v>44832</v>
      </c>
      <c r="E1212" s="28">
        <v>0</v>
      </c>
      <c r="F1212" s="28">
        <v>23831</v>
      </c>
      <c r="G1212" s="35">
        <v>-23831</v>
      </c>
    </row>
    <row r="1213" spans="1:8" ht="14.1" hidden="1" customHeight="1" x14ac:dyDescent="0.3">
      <c r="A1213" s="114">
        <v>44833</v>
      </c>
      <c r="E1213" s="28">
        <v>0</v>
      </c>
      <c r="F1213" s="28">
        <v>54129</v>
      </c>
      <c r="G1213" s="35">
        <v>-54129</v>
      </c>
    </row>
    <row r="1214" spans="1:8" ht="14.1" hidden="1" customHeight="1" x14ac:dyDescent="0.3">
      <c r="A1214" s="114">
        <v>44834</v>
      </c>
      <c r="D1214" s="28">
        <v>154500</v>
      </c>
      <c r="E1214" s="28">
        <v>154500</v>
      </c>
      <c r="F1214" s="28">
        <v>29793</v>
      </c>
      <c r="G1214" s="35">
        <v>124707</v>
      </c>
    </row>
    <row r="1215" spans="1:8" ht="14.1" hidden="1" customHeight="1" x14ac:dyDescent="0.3">
      <c r="E1215" s="28">
        <v>0</v>
      </c>
      <c r="G1215" s="35">
        <v>0</v>
      </c>
    </row>
    <row r="1216" spans="1:8" ht="14.1" hidden="1" customHeight="1" x14ac:dyDescent="0.3">
      <c r="A1216" s="118" t="s">
        <v>27</v>
      </c>
      <c r="B1216" s="28">
        <v>18800</v>
      </c>
      <c r="C1216" s="28">
        <v>675350</v>
      </c>
      <c r="D1216" s="28">
        <f>SUM(D1185:D1214)</f>
        <v>2572400</v>
      </c>
      <c r="E1216" s="28">
        <f>SUM(E1185:E1214)</f>
        <v>3196550</v>
      </c>
      <c r="F1216" s="28">
        <f>SUM(F1185:F1214)</f>
        <v>1290488</v>
      </c>
      <c r="G1216" s="35">
        <f>SUM(G1185:G1215)</f>
        <v>1953688</v>
      </c>
    </row>
    <row r="1217" spans="1:8" ht="14.1" hidden="1" customHeight="1" thickBot="1" x14ac:dyDescent="0.35"/>
    <row r="1218" spans="1:8" ht="14.1" hidden="1" customHeight="1" thickBot="1" x14ac:dyDescent="0.35">
      <c r="A1218" s="113" t="s">
        <v>4</v>
      </c>
      <c r="B1218" s="103" t="s">
        <v>6</v>
      </c>
      <c r="C1218" s="103" t="s">
        <v>7</v>
      </c>
      <c r="D1218" s="103" t="s">
        <v>109</v>
      </c>
      <c r="E1218" s="103" t="s">
        <v>8</v>
      </c>
      <c r="F1218" s="103" t="s">
        <v>9</v>
      </c>
      <c r="G1218" s="103" t="s">
        <v>0</v>
      </c>
    </row>
    <row r="1219" spans="1:8" ht="14.1" hidden="1" customHeight="1" x14ac:dyDescent="0.3"/>
    <row r="1220" spans="1:8" ht="14.1" hidden="1" customHeight="1" x14ac:dyDescent="0.3">
      <c r="A1220" s="114">
        <v>44774</v>
      </c>
      <c r="E1220" s="28">
        <f>D1220+C1220+B1220</f>
        <v>0</v>
      </c>
      <c r="F1220" s="28">
        <v>29799</v>
      </c>
      <c r="G1220" s="35">
        <f>E1220-F1220</f>
        <v>-29799</v>
      </c>
      <c r="H1220" s="53" t="s">
        <v>135</v>
      </c>
    </row>
    <row r="1221" spans="1:8" ht="14.1" hidden="1" customHeight="1" x14ac:dyDescent="0.3">
      <c r="A1221" s="114">
        <v>44775</v>
      </c>
      <c r="D1221" s="28">
        <v>18000</v>
      </c>
      <c r="E1221" s="28">
        <f t="shared" ref="E1221:E1250" si="56">D1221+C1221+B1221</f>
        <v>18000</v>
      </c>
      <c r="F1221" s="28">
        <v>32825</v>
      </c>
      <c r="G1221" s="35">
        <f t="shared" ref="G1221:G1250" si="57">E1221-F1221</f>
        <v>-14825</v>
      </c>
      <c r="H1221" s="53"/>
    </row>
    <row r="1222" spans="1:8" ht="14.1" hidden="1" customHeight="1" x14ac:dyDescent="0.3">
      <c r="A1222" s="114">
        <v>44776</v>
      </c>
      <c r="D1222" s="28">
        <v>80000</v>
      </c>
      <c r="E1222" s="28">
        <f t="shared" si="56"/>
        <v>80000</v>
      </c>
      <c r="F1222" s="28">
        <v>10151</v>
      </c>
      <c r="G1222" s="35">
        <f t="shared" si="57"/>
        <v>69849</v>
      </c>
      <c r="H1222" s="53"/>
    </row>
    <row r="1223" spans="1:8" ht="14.1" hidden="1" customHeight="1" x14ac:dyDescent="0.3">
      <c r="A1223" s="114">
        <v>44777</v>
      </c>
      <c r="D1223" s="28">
        <v>39400</v>
      </c>
      <c r="E1223" s="28">
        <f t="shared" si="56"/>
        <v>39400</v>
      </c>
      <c r="F1223" s="28">
        <v>5098</v>
      </c>
      <c r="G1223" s="35">
        <f t="shared" si="57"/>
        <v>34302</v>
      </c>
      <c r="H1223" s="53" t="s">
        <v>106</v>
      </c>
    </row>
    <row r="1224" spans="1:8" ht="14.1" hidden="1" customHeight="1" x14ac:dyDescent="0.3">
      <c r="A1224" s="114">
        <v>44778</v>
      </c>
      <c r="D1224" s="28">
        <v>132000</v>
      </c>
      <c r="E1224" s="28">
        <f t="shared" si="56"/>
        <v>132000</v>
      </c>
      <c r="F1224" s="28">
        <v>28700</v>
      </c>
      <c r="G1224" s="35">
        <f t="shared" si="57"/>
        <v>103300</v>
      </c>
      <c r="H1224" s="53"/>
    </row>
    <row r="1225" spans="1:8" ht="14.1" hidden="1" customHeight="1" x14ac:dyDescent="0.3">
      <c r="A1225" s="114">
        <v>44779</v>
      </c>
      <c r="E1225" s="28">
        <f t="shared" si="56"/>
        <v>0</v>
      </c>
      <c r="G1225" s="35">
        <f t="shared" si="57"/>
        <v>0</v>
      </c>
      <c r="H1225" s="53"/>
    </row>
    <row r="1226" spans="1:8" ht="14.1" hidden="1" customHeight="1" x14ac:dyDescent="0.3">
      <c r="A1226" s="114">
        <v>44780</v>
      </c>
      <c r="C1226" s="28">
        <v>106000</v>
      </c>
      <c r="E1226" s="28">
        <f t="shared" si="56"/>
        <v>106000</v>
      </c>
      <c r="G1226" s="35">
        <f t="shared" si="57"/>
        <v>106000</v>
      </c>
      <c r="H1226" s="79" t="s">
        <v>107</v>
      </c>
    </row>
    <row r="1227" spans="1:8" ht="14.1" hidden="1" customHeight="1" x14ac:dyDescent="0.3">
      <c r="A1227" s="114">
        <v>44781</v>
      </c>
      <c r="E1227" s="28">
        <f t="shared" si="56"/>
        <v>0</v>
      </c>
      <c r="G1227" s="35">
        <f t="shared" si="57"/>
        <v>0</v>
      </c>
      <c r="H1227" s="53"/>
    </row>
    <row r="1228" spans="1:8" ht="14.1" hidden="1" customHeight="1" x14ac:dyDescent="0.3">
      <c r="A1228" s="114">
        <v>44782</v>
      </c>
      <c r="E1228" s="28">
        <f t="shared" si="56"/>
        <v>0</v>
      </c>
      <c r="G1228" s="35">
        <f t="shared" si="57"/>
        <v>0</v>
      </c>
      <c r="H1228" s="53"/>
    </row>
    <row r="1229" spans="1:8" ht="14.1" hidden="1" customHeight="1" x14ac:dyDescent="0.3">
      <c r="A1229" s="114">
        <v>44783</v>
      </c>
      <c r="C1229" s="28">
        <v>14000</v>
      </c>
      <c r="E1229" s="28">
        <f t="shared" si="56"/>
        <v>14000</v>
      </c>
      <c r="F1229" s="28">
        <v>56327</v>
      </c>
      <c r="G1229" s="35">
        <f t="shared" si="57"/>
        <v>-42327</v>
      </c>
      <c r="H1229" s="53"/>
    </row>
    <row r="1230" spans="1:8" ht="14.1" hidden="1" customHeight="1" x14ac:dyDescent="0.3">
      <c r="A1230" s="114">
        <v>44784</v>
      </c>
      <c r="E1230" s="28">
        <f t="shared" si="56"/>
        <v>0</v>
      </c>
      <c r="F1230" s="28">
        <v>18000</v>
      </c>
      <c r="G1230" s="35">
        <f t="shared" si="57"/>
        <v>-18000</v>
      </c>
      <c r="H1230" s="53"/>
    </row>
    <row r="1231" spans="1:8" ht="14.1" hidden="1" customHeight="1" x14ac:dyDescent="0.3">
      <c r="A1231" s="114">
        <v>44785</v>
      </c>
      <c r="E1231" s="28">
        <f t="shared" si="56"/>
        <v>0</v>
      </c>
      <c r="F1231" s="28">
        <v>16200</v>
      </c>
      <c r="G1231" s="35">
        <f t="shared" si="57"/>
        <v>-16200</v>
      </c>
      <c r="H1231" s="53"/>
    </row>
    <row r="1232" spans="1:8" ht="14.1" hidden="1" customHeight="1" x14ac:dyDescent="0.3">
      <c r="A1232" s="114">
        <v>44786</v>
      </c>
      <c r="C1232" s="28">
        <v>115800</v>
      </c>
      <c r="E1232" s="28">
        <f t="shared" si="56"/>
        <v>115800</v>
      </c>
      <c r="F1232" s="28">
        <v>54800</v>
      </c>
      <c r="G1232" s="35">
        <f t="shared" si="57"/>
        <v>61000</v>
      </c>
      <c r="H1232" s="53" t="s">
        <v>108</v>
      </c>
    </row>
    <row r="1233" spans="1:8" ht="14.1" hidden="1" customHeight="1" x14ac:dyDescent="0.3">
      <c r="A1233" s="114">
        <v>44787</v>
      </c>
      <c r="E1233" s="28">
        <f t="shared" si="56"/>
        <v>0</v>
      </c>
      <c r="G1233" s="35">
        <f t="shared" si="57"/>
        <v>0</v>
      </c>
      <c r="H1233" s="53"/>
    </row>
    <row r="1234" spans="1:8" ht="14.1" hidden="1" customHeight="1" x14ac:dyDescent="0.3">
      <c r="A1234" s="114">
        <v>44788</v>
      </c>
      <c r="C1234" s="28">
        <v>130200</v>
      </c>
      <c r="E1234" s="28">
        <f t="shared" si="56"/>
        <v>130200</v>
      </c>
      <c r="F1234" s="28">
        <v>24243</v>
      </c>
      <c r="G1234" s="35">
        <f t="shared" si="57"/>
        <v>105957</v>
      </c>
      <c r="H1234" s="53"/>
    </row>
    <row r="1235" spans="1:8" ht="14.1" hidden="1" customHeight="1" x14ac:dyDescent="0.3">
      <c r="A1235" s="114">
        <v>44789</v>
      </c>
      <c r="E1235" s="28">
        <f t="shared" si="56"/>
        <v>0</v>
      </c>
      <c r="G1235" s="35">
        <f t="shared" si="57"/>
        <v>0</v>
      </c>
    </row>
    <row r="1236" spans="1:8" ht="14.1" hidden="1" customHeight="1" x14ac:dyDescent="0.3">
      <c r="A1236" s="114">
        <v>44790</v>
      </c>
      <c r="E1236" s="28">
        <f t="shared" si="56"/>
        <v>0</v>
      </c>
      <c r="F1236" s="28">
        <v>32181</v>
      </c>
      <c r="G1236" s="35">
        <f t="shared" si="57"/>
        <v>-32181</v>
      </c>
    </row>
    <row r="1237" spans="1:8" ht="14.1" hidden="1" customHeight="1" x14ac:dyDescent="0.3">
      <c r="A1237" s="114">
        <v>44791</v>
      </c>
      <c r="E1237" s="28">
        <f t="shared" si="56"/>
        <v>0</v>
      </c>
      <c r="G1237" s="35">
        <f t="shared" si="57"/>
        <v>0</v>
      </c>
    </row>
    <row r="1238" spans="1:8" ht="14.1" hidden="1" customHeight="1" x14ac:dyDescent="0.3">
      <c r="A1238" s="114">
        <v>44792</v>
      </c>
      <c r="E1238" s="28">
        <f t="shared" si="56"/>
        <v>0</v>
      </c>
      <c r="G1238" s="35">
        <f t="shared" si="57"/>
        <v>0</v>
      </c>
    </row>
    <row r="1239" spans="1:8" ht="14.1" hidden="1" customHeight="1" x14ac:dyDescent="0.3">
      <c r="A1239" s="114">
        <v>44793</v>
      </c>
      <c r="C1239" s="28">
        <v>103000</v>
      </c>
      <c r="E1239" s="28">
        <f t="shared" si="56"/>
        <v>103000</v>
      </c>
      <c r="G1239" s="35">
        <f t="shared" si="57"/>
        <v>103000</v>
      </c>
    </row>
    <row r="1240" spans="1:8" ht="14.1" hidden="1" customHeight="1" x14ac:dyDescent="0.3">
      <c r="A1240" s="114">
        <v>44794</v>
      </c>
      <c r="E1240" s="28">
        <f t="shared" si="56"/>
        <v>0</v>
      </c>
      <c r="G1240" s="35">
        <f t="shared" si="57"/>
        <v>0</v>
      </c>
    </row>
    <row r="1241" spans="1:8" ht="14.1" hidden="1" customHeight="1" x14ac:dyDescent="0.3">
      <c r="A1241" s="114">
        <v>44795</v>
      </c>
      <c r="E1241" s="28">
        <f t="shared" si="56"/>
        <v>0</v>
      </c>
      <c r="F1241" s="28">
        <v>27392</v>
      </c>
      <c r="G1241" s="35">
        <f t="shared" si="57"/>
        <v>-27392</v>
      </c>
    </row>
    <row r="1242" spans="1:8" ht="14.1" hidden="1" customHeight="1" x14ac:dyDescent="0.3">
      <c r="A1242" s="114">
        <v>44796</v>
      </c>
      <c r="E1242" s="28">
        <f t="shared" si="56"/>
        <v>0</v>
      </c>
      <c r="G1242" s="35">
        <f t="shared" si="57"/>
        <v>0</v>
      </c>
    </row>
    <row r="1243" spans="1:8" ht="14.1" hidden="1" customHeight="1" x14ac:dyDescent="0.3">
      <c r="A1243" s="114">
        <v>44797</v>
      </c>
      <c r="C1243" s="28">
        <v>28200</v>
      </c>
      <c r="E1243" s="28">
        <f t="shared" si="56"/>
        <v>28200</v>
      </c>
      <c r="F1243" s="28">
        <v>36200</v>
      </c>
      <c r="G1243" s="35">
        <f t="shared" si="57"/>
        <v>-8000</v>
      </c>
    </row>
    <row r="1244" spans="1:8" ht="14.1" hidden="1" customHeight="1" x14ac:dyDescent="0.3">
      <c r="A1244" s="114">
        <v>44798</v>
      </c>
      <c r="C1244" s="28">
        <v>163750</v>
      </c>
      <c r="E1244" s="28">
        <f t="shared" si="56"/>
        <v>163750</v>
      </c>
      <c r="F1244" s="28">
        <v>34759</v>
      </c>
      <c r="G1244" s="35">
        <f t="shared" si="57"/>
        <v>128991</v>
      </c>
    </row>
    <row r="1245" spans="1:8" ht="14.1" hidden="1" customHeight="1" x14ac:dyDescent="0.3">
      <c r="A1245" s="114">
        <v>44799</v>
      </c>
      <c r="C1245" s="28">
        <v>59000</v>
      </c>
      <c r="E1245" s="28">
        <f t="shared" si="56"/>
        <v>59000</v>
      </c>
      <c r="F1245" s="28">
        <v>23244</v>
      </c>
      <c r="G1245" s="35">
        <f t="shared" si="57"/>
        <v>35756</v>
      </c>
    </row>
    <row r="1246" spans="1:8" ht="14.1" hidden="1" customHeight="1" x14ac:dyDescent="0.3">
      <c r="A1246" s="114">
        <v>44800</v>
      </c>
      <c r="C1246" s="28">
        <v>127550</v>
      </c>
      <c r="E1246" s="28">
        <f t="shared" si="56"/>
        <v>127550</v>
      </c>
      <c r="G1246" s="35">
        <f t="shared" si="57"/>
        <v>127550</v>
      </c>
    </row>
    <row r="1247" spans="1:8" ht="14.1" hidden="1" customHeight="1" x14ac:dyDescent="0.3">
      <c r="A1247" s="114">
        <v>44801</v>
      </c>
      <c r="C1247" s="28">
        <v>47800</v>
      </c>
      <c r="E1247" s="28">
        <f t="shared" si="56"/>
        <v>47800</v>
      </c>
      <c r="F1247" s="28">
        <v>17000</v>
      </c>
      <c r="G1247" s="35">
        <f t="shared" si="57"/>
        <v>30800</v>
      </c>
    </row>
    <row r="1248" spans="1:8" ht="14.1" hidden="1" customHeight="1" x14ac:dyDescent="0.3">
      <c r="A1248" s="114">
        <v>44802</v>
      </c>
      <c r="C1248" s="28">
        <v>114000</v>
      </c>
      <c r="E1248" s="28">
        <f t="shared" si="56"/>
        <v>114000</v>
      </c>
      <c r="F1248" s="28">
        <v>163024</v>
      </c>
      <c r="G1248" s="35">
        <f t="shared" si="57"/>
        <v>-49024</v>
      </c>
    </row>
    <row r="1249" spans="1:8" ht="14.1" hidden="1" customHeight="1" x14ac:dyDescent="0.3">
      <c r="A1249" s="114">
        <v>44803</v>
      </c>
      <c r="C1249" s="28">
        <v>18000</v>
      </c>
      <c r="E1249" s="28">
        <f t="shared" si="56"/>
        <v>18000</v>
      </c>
      <c r="F1249" s="28">
        <v>29360</v>
      </c>
      <c r="G1249" s="35">
        <f t="shared" si="57"/>
        <v>-11360</v>
      </c>
    </row>
    <row r="1250" spans="1:8" ht="14.1" hidden="1" customHeight="1" x14ac:dyDescent="0.3">
      <c r="A1250" s="114">
        <v>44804</v>
      </c>
      <c r="D1250" s="28">
        <v>29000</v>
      </c>
      <c r="E1250" s="28">
        <f t="shared" si="56"/>
        <v>29000</v>
      </c>
      <c r="F1250" s="28">
        <f>39980+6700+12018+18320+11085+6462+20300+5970+2625</f>
        <v>123460</v>
      </c>
      <c r="G1250" s="35">
        <f t="shared" si="57"/>
        <v>-94460</v>
      </c>
    </row>
    <row r="1251" spans="1:8" ht="14.1" hidden="1" customHeight="1" x14ac:dyDescent="0.3">
      <c r="A1251" s="114" t="s">
        <v>26</v>
      </c>
      <c r="B1251" s="28">
        <v>0</v>
      </c>
      <c r="C1251" s="28">
        <f>SUM(C1220:C1250)</f>
        <v>1027300</v>
      </c>
      <c r="D1251" s="28">
        <f>SUM(D1220:D1250)</f>
        <v>298400</v>
      </c>
      <c r="E1251" s="28">
        <f>SUM(E1220:E1250)</f>
        <v>1325700</v>
      </c>
      <c r="F1251" s="28">
        <f>SUM(F1220:F1250)</f>
        <v>762763</v>
      </c>
      <c r="G1251" s="35">
        <f>SUM(G1220:G1250)</f>
        <v>562937</v>
      </c>
    </row>
    <row r="1252" spans="1:8" ht="14.1" hidden="1" customHeight="1" thickBot="1" x14ac:dyDescent="0.35"/>
    <row r="1253" spans="1:8" ht="14.1" hidden="1" customHeight="1" thickBot="1" x14ac:dyDescent="0.35">
      <c r="A1253" s="113" t="s">
        <v>4</v>
      </c>
      <c r="B1253" s="103" t="s">
        <v>6</v>
      </c>
      <c r="C1253" s="103" t="s">
        <v>7</v>
      </c>
      <c r="D1253" s="103" t="s">
        <v>109</v>
      </c>
      <c r="E1253" s="103" t="s">
        <v>8</v>
      </c>
      <c r="F1253" s="103" t="s">
        <v>9</v>
      </c>
      <c r="G1253" s="103" t="s">
        <v>0</v>
      </c>
    </row>
    <row r="1254" spans="1:8" ht="14.1" hidden="1" customHeight="1" x14ac:dyDescent="0.3">
      <c r="A1254" s="114">
        <v>44743</v>
      </c>
      <c r="E1254" s="28">
        <v>0</v>
      </c>
      <c r="G1254" s="35">
        <v>0</v>
      </c>
    </row>
    <row r="1255" spans="1:8" ht="14.1" hidden="1" customHeight="1" x14ac:dyDescent="0.3">
      <c r="A1255" s="114">
        <v>44744</v>
      </c>
      <c r="C1255" s="28">
        <v>83000</v>
      </c>
      <c r="E1255" s="28">
        <v>83000</v>
      </c>
      <c r="G1255" s="35">
        <v>83000</v>
      </c>
    </row>
    <row r="1256" spans="1:8" ht="14.1" hidden="1" customHeight="1" x14ac:dyDescent="0.3">
      <c r="A1256" s="114">
        <v>44745</v>
      </c>
      <c r="C1256" s="28">
        <v>25400</v>
      </c>
      <c r="E1256" s="28">
        <v>25400</v>
      </c>
      <c r="G1256" s="35">
        <v>25400</v>
      </c>
      <c r="H1256" s="53"/>
    </row>
    <row r="1257" spans="1:8" ht="14.1" hidden="1" customHeight="1" x14ac:dyDescent="0.3">
      <c r="A1257" s="114">
        <v>44746</v>
      </c>
      <c r="C1257" s="28">
        <v>35000</v>
      </c>
      <c r="E1257" s="28">
        <v>35000</v>
      </c>
      <c r="G1257" s="35">
        <v>35000</v>
      </c>
      <c r="H1257" s="80" t="s">
        <v>103</v>
      </c>
    </row>
    <row r="1258" spans="1:8" ht="14.1" hidden="1" customHeight="1" x14ac:dyDescent="0.3">
      <c r="A1258" s="114">
        <v>44747</v>
      </c>
      <c r="C1258" s="28">
        <v>52400</v>
      </c>
      <c r="E1258" s="28">
        <v>52400</v>
      </c>
      <c r="G1258" s="35">
        <v>52400</v>
      </c>
      <c r="H1258" s="53"/>
    </row>
    <row r="1259" spans="1:8" ht="14.1" hidden="1" customHeight="1" x14ac:dyDescent="0.3">
      <c r="A1259" s="114">
        <v>44748</v>
      </c>
      <c r="E1259" s="28">
        <v>0</v>
      </c>
      <c r="G1259" s="35">
        <v>0</v>
      </c>
      <c r="H1259" s="53" t="s">
        <v>103</v>
      </c>
    </row>
    <row r="1260" spans="1:8" ht="14.1" hidden="1" customHeight="1" x14ac:dyDescent="0.3">
      <c r="A1260" s="114">
        <v>44749</v>
      </c>
      <c r="E1260" s="28">
        <v>0</v>
      </c>
      <c r="G1260" s="35">
        <v>0</v>
      </c>
      <c r="H1260" s="53"/>
    </row>
    <row r="1261" spans="1:8" ht="14.1" hidden="1" customHeight="1" x14ac:dyDescent="0.3">
      <c r="A1261" s="114">
        <v>44750</v>
      </c>
      <c r="E1261" s="28">
        <v>0</v>
      </c>
      <c r="F1261" s="28">
        <v>31254</v>
      </c>
      <c r="G1261" s="35">
        <v>-31254</v>
      </c>
      <c r="H1261" s="53"/>
    </row>
    <row r="1262" spans="1:8" ht="14.1" hidden="1" customHeight="1" x14ac:dyDescent="0.3">
      <c r="A1262" s="114">
        <v>44751</v>
      </c>
      <c r="C1262" s="28">
        <v>35000</v>
      </c>
      <c r="E1262" s="28">
        <v>35000</v>
      </c>
      <c r="G1262" s="35">
        <v>35000</v>
      </c>
      <c r="H1262" s="53"/>
    </row>
    <row r="1263" spans="1:8" ht="14.1" hidden="1" customHeight="1" x14ac:dyDescent="0.3">
      <c r="A1263" s="114">
        <v>44752</v>
      </c>
      <c r="E1263" s="28">
        <v>0</v>
      </c>
      <c r="G1263" s="35">
        <v>0</v>
      </c>
      <c r="H1263" s="53"/>
    </row>
    <row r="1264" spans="1:8" ht="14.1" hidden="1" customHeight="1" x14ac:dyDescent="0.3">
      <c r="A1264" s="114">
        <v>44753</v>
      </c>
      <c r="E1264" s="28">
        <v>0</v>
      </c>
      <c r="G1264" s="35">
        <v>0</v>
      </c>
      <c r="H1264" s="53"/>
    </row>
    <row r="1265" spans="1:8" ht="14.1" hidden="1" customHeight="1" x14ac:dyDescent="0.3">
      <c r="A1265" s="114">
        <v>44754</v>
      </c>
      <c r="E1265" s="28">
        <v>0</v>
      </c>
      <c r="G1265" s="35">
        <v>0</v>
      </c>
      <c r="H1265" s="53"/>
    </row>
    <row r="1266" spans="1:8" ht="14.1" hidden="1" customHeight="1" x14ac:dyDescent="0.3">
      <c r="A1266" s="114">
        <v>44755</v>
      </c>
      <c r="E1266" s="28">
        <v>0</v>
      </c>
      <c r="G1266" s="35">
        <v>0</v>
      </c>
      <c r="H1266" s="53"/>
    </row>
    <row r="1267" spans="1:8" ht="14.1" hidden="1" customHeight="1" x14ac:dyDescent="0.3">
      <c r="A1267" s="114">
        <v>44756</v>
      </c>
      <c r="E1267" s="28">
        <v>0</v>
      </c>
      <c r="G1267" s="35">
        <v>0</v>
      </c>
      <c r="H1267" s="53"/>
    </row>
    <row r="1268" spans="1:8" ht="14.1" hidden="1" customHeight="1" x14ac:dyDescent="0.3">
      <c r="A1268" s="114">
        <v>44757</v>
      </c>
      <c r="E1268" s="28">
        <v>0</v>
      </c>
      <c r="G1268" s="35">
        <v>0</v>
      </c>
      <c r="H1268" s="53"/>
    </row>
    <row r="1269" spans="1:8" ht="14.1" hidden="1" customHeight="1" x14ac:dyDescent="0.3">
      <c r="A1269" s="114">
        <v>44758</v>
      </c>
      <c r="C1269" s="28">
        <v>42000</v>
      </c>
      <c r="E1269" s="28">
        <v>42000</v>
      </c>
      <c r="G1269" s="35">
        <v>42000</v>
      </c>
      <c r="H1269" s="53"/>
    </row>
    <row r="1270" spans="1:8" ht="14.1" hidden="1" customHeight="1" x14ac:dyDescent="0.3">
      <c r="A1270" s="114">
        <v>44759</v>
      </c>
      <c r="E1270" s="28">
        <v>0</v>
      </c>
      <c r="G1270" s="35">
        <v>0</v>
      </c>
      <c r="H1270" s="53" t="s">
        <v>104</v>
      </c>
    </row>
    <row r="1271" spans="1:8" ht="14.1" hidden="1" customHeight="1" x14ac:dyDescent="0.3">
      <c r="A1271" s="114">
        <v>44760</v>
      </c>
      <c r="C1271" s="28">
        <v>54000</v>
      </c>
      <c r="E1271" s="28">
        <v>54000</v>
      </c>
      <c r="G1271" s="35">
        <v>54000</v>
      </c>
      <c r="H1271" s="53"/>
    </row>
    <row r="1272" spans="1:8" ht="14.1" hidden="1" customHeight="1" x14ac:dyDescent="0.3">
      <c r="A1272" s="114">
        <v>44761</v>
      </c>
      <c r="E1272" s="28">
        <v>0</v>
      </c>
      <c r="G1272" s="35">
        <v>0</v>
      </c>
      <c r="H1272" s="53"/>
    </row>
    <row r="1273" spans="1:8" ht="14.1" hidden="1" customHeight="1" x14ac:dyDescent="0.3">
      <c r="A1273" s="114">
        <v>44762</v>
      </c>
      <c r="C1273" s="28">
        <v>30000</v>
      </c>
      <c r="E1273" s="28">
        <v>30000</v>
      </c>
      <c r="F1273" s="28">
        <v>26420</v>
      </c>
      <c r="G1273" s="35">
        <v>3580</v>
      </c>
      <c r="H1273" s="261"/>
    </row>
    <row r="1274" spans="1:8" ht="14.1" hidden="1" customHeight="1" x14ac:dyDescent="0.3">
      <c r="A1274" s="114">
        <v>44763</v>
      </c>
      <c r="E1274" s="28">
        <v>0</v>
      </c>
      <c r="F1274" s="28">
        <v>17000</v>
      </c>
      <c r="G1274" s="35">
        <v>-17000</v>
      </c>
      <c r="H1274" s="261"/>
    </row>
    <row r="1275" spans="1:8" ht="14.1" hidden="1" customHeight="1" x14ac:dyDescent="0.3">
      <c r="A1275" s="114">
        <v>44764</v>
      </c>
      <c r="E1275" s="28">
        <v>0</v>
      </c>
      <c r="F1275" s="28">
        <v>1690</v>
      </c>
      <c r="G1275" s="35">
        <v>-1690</v>
      </c>
      <c r="H1275" s="53"/>
    </row>
    <row r="1276" spans="1:8" ht="14.1" hidden="1" customHeight="1" x14ac:dyDescent="0.3">
      <c r="A1276" s="114">
        <v>44765</v>
      </c>
      <c r="C1276" s="28">
        <v>213500</v>
      </c>
      <c r="E1276" s="28">
        <v>213500</v>
      </c>
      <c r="G1276" s="35">
        <v>213500</v>
      </c>
      <c r="H1276" s="53"/>
    </row>
    <row r="1277" spans="1:8" ht="14.1" hidden="1" customHeight="1" x14ac:dyDescent="0.3">
      <c r="A1277" s="114">
        <v>44766</v>
      </c>
      <c r="E1277" s="28">
        <v>0</v>
      </c>
      <c r="G1277" s="35">
        <v>0</v>
      </c>
      <c r="H1277" s="53"/>
    </row>
    <row r="1278" spans="1:8" ht="14.1" hidden="1" customHeight="1" x14ac:dyDescent="0.3">
      <c r="A1278" s="114">
        <v>44767</v>
      </c>
      <c r="C1278" s="28">
        <v>32000</v>
      </c>
      <c r="E1278" s="28">
        <v>32000</v>
      </c>
      <c r="G1278" s="35">
        <v>32000</v>
      </c>
      <c r="H1278" s="53"/>
    </row>
    <row r="1279" spans="1:8" ht="14.1" hidden="1" customHeight="1" x14ac:dyDescent="0.3">
      <c r="A1279" s="114">
        <v>44768</v>
      </c>
      <c r="C1279" s="28">
        <v>82700</v>
      </c>
      <c r="E1279" s="28">
        <v>82700</v>
      </c>
      <c r="F1279" s="28">
        <v>18000</v>
      </c>
      <c r="G1279" s="35">
        <v>64700</v>
      </c>
      <c r="H1279" s="53"/>
    </row>
    <row r="1280" spans="1:8" ht="14.1" hidden="1" customHeight="1" x14ac:dyDescent="0.3">
      <c r="A1280" s="114">
        <v>44769</v>
      </c>
      <c r="E1280" s="28">
        <v>0</v>
      </c>
      <c r="G1280" s="35">
        <v>0</v>
      </c>
      <c r="H1280" s="53" t="s">
        <v>105</v>
      </c>
    </row>
    <row r="1281" spans="1:8" ht="14.1" hidden="1" customHeight="1" x14ac:dyDescent="0.3">
      <c r="A1281" s="114">
        <v>44770</v>
      </c>
      <c r="E1281" s="28">
        <v>0</v>
      </c>
      <c r="G1281" s="35">
        <v>0</v>
      </c>
      <c r="H1281" s="53"/>
    </row>
    <row r="1282" spans="1:8" ht="14.1" hidden="1" customHeight="1" x14ac:dyDescent="0.3">
      <c r="A1282" s="114">
        <v>44771</v>
      </c>
      <c r="E1282" s="28">
        <v>0</v>
      </c>
      <c r="G1282" s="35">
        <v>0</v>
      </c>
    </row>
    <row r="1283" spans="1:8" ht="14.1" hidden="1" customHeight="1" x14ac:dyDescent="0.3">
      <c r="A1283" s="114">
        <v>44772</v>
      </c>
      <c r="E1283" s="28">
        <v>0</v>
      </c>
      <c r="G1283" s="35">
        <v>0</v>
      </c>
    </row>
    <row r="1284" spans="1:8" ht="14.1" hidden="1" customHeight="1" x14ac:dyDescent="0.3">
      <c r="A1284" s="114">
        <v>44773</v>
      </c>
      <c r="C1284" s="28">
        <v>74700</v>
      </c>
      <c r="E1284" s="28">
        <v>74700</v>
      </c>
      <c r="G1284" s="35">
        <v>74700</v>
      </c>
    </row>
    <row r="1285" spans="1:8" ht="14.1" hidden="1" customHeight="1" x14ac:dyDescent="0.3">
      <c r="A1285" s="118" t="s">
        <v>25</v>
      </c>
      <c r="B1285" s="28">
        <v>0</v>
      </c>
      <c r="C1285" s="28">
        <v>759700</v>
      </c>
      <c r="D1285" s="28">
        <v>0</v>
      </c>
      <c r="E1285" s="28">
        <v>759700</v>
      </c>
      <c r="F1285" s="28">
        <v>94364</v>
      </c>
      <c r="G1285" s="35">
        <v>665336</v>
      </c>
    </row>
    <row r="1286" spans="1:8" ht="14.1" hidden="1" customHeight="1" thickBot="1" x14ac:dyDescent="0.35"/>
    <row r="1287" spans="1:8" ht="14.1" hidden="1" customHeight="1" thickBot="1" x14ac:dyDescent="0.35">
      <c r="A1287" s="113" t="s">
        <v>4</v>
      </c>
      <c r="B1287" s="103" t="s">
        <v>6</v>
      </c>
      <c r="C1287" s="103" t="s">
        <v>7</v>
      </c>
      <c r="D1287" s="103" t="s">
        <v>109</v>
      </c>
      <c r="E1287" s="103" t="s">
        <v>8</v>
      </c>
      <c r="F1287" s="103" t="s">
        <v>9</v>
      </c>
      <c r="G1287" s="103" t="s">
        <v>0</v>
      </c>
    </row>
    <row r="1288" spans="1:8" ht="14.1" hidden="1" customHeight="1" x14ac:dyDescent="0.3">
      <c r="A1288" s="114">
        <v>44713</v>
      </c>
      <c r="E1288" s="28">
        <v>0</v>
      </c>
      <c r="F1288" s="28">
        <v>74640.28</v>
      </c>
      <c r="G1288" s="35">
        <v>-74640.28</v>
      </c>
      <c r="H1288" s="53"/>
    </row>
    <row r="1289" spans="1:8" ht="14.1" hidden="1" customHeight="1" x14ac:dyDescent="0.3">
      <c r="A1289" s="114">
        <v>44714</v>
      </c>
      <c r="D1289" s="28">
        <v>39300</v>
      </c>
      <c r="E1289" s="28">
        <v>39300</v>
      </c>
      <c r="G1289" s="35">
        <v>39300</v>
      </c>
      <c r="H1289" s="53" t="s">
        <v>97</v>
      </c>
    </row>
    <row r="1290" spans="1:8" ht="14.1" hidden="1" customHeight="1" x14ac:dyDescent="0.3">
      <c r="A1290" s="114">
        <v>44715</v>
      </c>
      <c r="E1290" s="28">
        <v>0</v>
      </c>
      <c r="G1290" s="35">
        <v>0</v>
      </c>
      <c r="H1290" s="80"/>
    </row>
    <row r="1291" spans="1:8" ht="14.1" hidden="1" customHeight="1" x14ac:dyDescent="0.3">
      <c r="A1291" s="114">
        <v>44716</v>
      </c>
      <c r="D1291" s="28">
        <v>161500</v>
      </c>
      <c r="E1291" s="28">
        <v>161500</v>
      </c>
      <c r="F1291" s="28">
        <v>20450</v>
      </c>
      <c r="G1291" s="35">
        <v>141050</v>
      </c>
      <c r="H1291" s="53" t="s">
        <v>95</v>
      </c>
    </row>
    <row r="1292" spans="1:8" ht="14.1" hidden="1" customHeight="1" x14ac:dyDescent="0.3">
      <c r="A1292" s="114">
        <v>44717</v>
      </c>
      <c r="D1292" s="28">
        <v>60500</v>
      </c>
      <c r="E1292" s="28">
        <v>60500</v>
      </c>
      <c r="F1292" s="28">
        <v>33000</v>
      </c>
      <c r="G1292" s="35">
        <v>27500</v>
      </c>
      <c r="H1292" s="53" t="s">
        <v>96</v>
      </c>
    </row>
    <row r="1293" spans="1:8" ht="14.1" hidden="1" customHeight="1" x14ac:dyDescent="0.3">
      <c r="A1293" s="114">
        <v>44718</v>
      </c>
      <c r="E1293" s="28">
        <v>0</v>
      </c>
      <c r="F1293" s="28">
        <v>83830</v>
      </c>
      <c r="G1293" s="35">
        <v>-83830</v>
      </c>
      <c r="H1293" s="53"/>
    </row>
    <row r="1294" spans="1:8" ht="14.1" hidden="1" customHeight="1" x14ac:dyDescent="0.3">
      <c r="A1294" s="114">
        <v>44719</v>
      </c>
      <c r="E1294" s="28">
        <v>0</v>
      </c>
      <c r="G1294" s="35">
        <v>0</v>
      </c>
      <c r="H1294" s="53"/>
    </row>
    <row r="1295" spans="1:8" ht="14.1" hidden="1" customHeight="1" x14ac:dyDescent="0.3">
      <c r="A1295" s="114">
        <v>44720</v>
      </c>
      <c r="D1295" s="28">
        <v>45000</v>
      </c>
      <c r="E1295" s="28">
        <v>45000</v>
      </c>
      <c r="F1295" s="28">
        <v>72243</v>
      </c>
      <c r="G1295" s="35">
        <v>-27243</v>
      </c>
      <c r="H1295" s="53"/>
    </row>
    <row r="1296" spans="1:8" ht="14.1" hidden="1" customHeight="1" x14ac:dyDescent="0.3">
      <c r="A1296" s="114">
        <v>44721</v>
      </c>
      <c r="D1296" s="28">
        <v>11200</v>
      </c>
      <c r="E1296" s="28">
        <v>11200</v>
      </c>
      <c r="F1296" s="28">
        <v>40000</v>
      </c>
      <c r="G1296" s="35">
        <v>-28800</v>
      </c>
      <c r="H1296" s="53" t="s">
        <v>98</v>
      </c>
    </row>
    <row r="1297" spans="1:8" ht="14.1" hidden="1" customHeight="1" x14ac:dyDescent="0.3">
      <c r="A1297" s="114">
        <v>44722</v>
      </c>
      <c r="E1297" s="28">
        <v>0</v>
      </c>
      <c r="G1297" s="35">
        <v>0</v>
      </c>
      <c r="H1297" s="53"/>
    </row>
    <row r="1298" spans="1:8" ht="14.1" hidden="1" customHeight="1" x14ac:dyDescent="0.3">
      <c r="A1298" s="114">
        <v>44723</v>
      </c>
      <c r="D1298" s="28">
        <v>79000</v>
      </c>
      <c r="E1298" s="28">
        <v>79000</v>
      </c>
      <c r="F1298" s="28">
        <v>29968</v>
      </c>
      <c r="G1298" s="35">
        <v>49032</v>
      </c>
      <c r="H1298" s="53"/>
    </row>
    <row r="1299" spans="1:8" ht="14.1" hidden="1" customHeight="1" x14ac:dyDescent="0.3">
      <c r="A1299" s="114">
        <v>44724</v>
      </c>
      <c r="E1299" s="28">
        <v>0</v>
      </c>
      <c r="F1299" s="28">
        <v>21150</v>
      </c>
      <c r="G1299" s="35">
        <v>-21150</v>
      </c>
      <c r="H1299" s="53"/>
    </row>
    <row r="1300" spans="1:8" ht="14.1" hidden="1" customHeight="1" x14ac:dyDescent="0.3">
      <c r="A1300" s="114">
        <v>44725</v>
      </c>
      <c r="E1300" s="28">
        <v>0</v>
      </c>
      <c r="F1300" s="28">
        <v>2200</v>
      </c>
      <c r="G1300" s="35">
        <v>-2200</v>
      </c>
      <c r="H1300" s="53"/>
    </row>
    <row r="1301" spans="1:8" ht="14.1" hidden="1" customHeight="1" x14ac:dyDescent="0.3">
      <c r="A1301" s="114">
        <v>44726</v>
      </c>
      <c r="D1301" s="28">
        <v>78400</v>
      </c>
      <c r="E1301" s="28">
        <v>78400</v>
      </c>
      <c r="G1301" s="35">
        <v>78400</v>
      </c>
      <c r="H1301" s="53" t="s">
        <v>99</v>
      </c>
    </row>
    <row r="1302" spans="1:8" ht="14.1" hidden="1" customHeight="1" x14ac:dyDescent="0.3">
      <c r="A1302" s="114">
        <v>44727</v>
      </c>
      <c r="D1302" s="28">
        <v>24000</v>
      </c>
      <c r="E1302" s="28">
        <v>24000</v>
      </c>
      <c r="F1302" s="28">
        <v>16950</v>
      </c>
      <c r="G1302" s="35">
        <v>7050</v>
      </c>
      <c r="H1302" s="53"/>
    </row>
    <row r="1303" spans="1:8" ht="14.1" hidden="1" customHeight="1" x14ac:dyDescent="0.3">
      <c r="A1303" s="114">
        <v>44728</v>
      </c>
      <c r="D1303" s="28">
        <v>18000</v>
      </c>
      <c r="E1303" s="28">
        <v>18000</v>
      </c>
      <c r="G1303" s="35">
        <v>18000</v>
      </c>
      <c r="H1303" s="53"/>
    </row>
    <row r="1304" spans="1:8" ht="14.1" hidden="1" customHeight="1" x14ac:dyDescent="0.3">
      <c r="A1304" s="114">
        <v>44729</v>
      </c>
      <c r="E1304" s="28">
        <v>0</v>
      </c>
      <c r="G1304" s="35">
        <v>0</v>
      </c>
      <c r="H1304" s="53"/>
    </row>
    <row r="1305" spans="1:8" ht="14.1" hidden="1" customHeight="1" x14ac:dyDescent="0.3">
      <c r="A1305" s="114">
        <v>44730</v>
      </c>
      <c r="E1305" s="28">
        <v>0</v>
      </c>
      <c r="F1305" s="28">
        <v>31927</v>
      </c>
      <c r="G1305" s="35">
        <v>-31927</v>
      </c>
      <c r="H1305" s="53"/>
    </row>
    <row r="1306" spans="1:8" ht="14.1" hidden="1" customHeight="1" x14ac:dyDescent="0.3">
      <c r="A1306" s="114">
        <v>44731</v>
      </c>
      <c r="D1306" s="28">
        <v>309400</v>
      </c>
      <c r="E1306" s="28">
        <v>309400</v>
      </c>
      <c r="G1306" s="35">
        <v>309400</v>
      </c>
      <c r="H1306" s="81" t="s">
        <v>100</v>
      </c>
    </row>
    <row r="1307" spans="1:8" ht="14.1" hidden="1" customHeight="1" x14ac:dyDescent="0.3">
      <c r="A1307" s="114">
        <v>44732</v>
      </c>
      <c r="E1307" s="28">
        <v>0</v>
      </c>
      <c r="F1307" s="28">
        <v>16140</v>
      </c>
      <c r="G1307" s="35">
        <v>-16140</v>
      </c>
      <c r="H1307" s="82"/>
    </row>
    <row r="1308" spans="1:8" ht="14.1" hidden="1" customHeight="1" x14ac:dyDescent="0.3">
      <c r="A1308" s="114">
        <v>44733</v>
      </c>
      <c r="E1308" s="28">
        <v>0</v>
      </c>
      <c r="G1308" s="35">
        <v>0</v>
      </c>
      <c r="H1308" s="53"/>
    </row>
    <row r="1309" spans="1:8" ht="14.1" hidden="1" customHeight="1" x14ac:dyDescent="0.3">
      <c r="A1309" s="114">
        <v>44734</v>
      </c>
      <c r="D1309" s="28">
        <v>77200</v>
      </c>
      <c r="E1309" s="28">
        <v>77200</v>
      </c>
      <c r="G1309" s="35">
        <v>77200</v>
      </c>
      <c r="H1309" s="53" t="s">
        <v>101</v>
      </c>
    </row>
    <row r="1310" spans="1:8" ht="14.1" hidden="1" customHeight="1" x14ac:dyDescent="0.3">
      <c r="A1310" s="114">
        <v>44735</v>
      </c>
      <c r="D1310" s="28">
        <v>130800</v>
      </c>
      <c r="E1310" s="28">
        <v>130800</v>
      </c>
      <c r="F1310" s="28">
        <v>49800</v>
      </c>
      <c r="G1310" s="35">
        <v>81000</v>
      </c>
      <c r="H1310" s="53" t="s">
        <v>102</v>
      </c>
    </row>
    <row r="1311" spans="1:8" ht="14.1" hidden="1" customHeight="1" x14ac:dyDescent="0.3">
      <c r="A1311" s="114">
        <v>44736</v>
      </c>
      <c r="E1311" s="28">
        <v>0</v>
      </c>
      <c r="F1311" s="28">
        <v>109648</v>
      </c>
      <c r="G1311" s="35">
        <v>-109648</v>
      </c>
      <c r="H1311" s="53"/>
    </row>
    <row r="1312" spans="1:8" ht="14.1" hidden="1" customHeight="1" x14ac:dyDescent="0.3">
      <c r="A1312" s="114">
        <v>44737</v>
      </c>
      <c r="D1312" s="28">
        <v>41700</v>
      </c>
      <c r="E1312" s="28">
        <v>41700</v>
      </c>
      <c r="F1312" s="28">
        <v>7190</v>
      </c>
      <c r="G1312" s="35">
        <v>34510</v>
      </c>
    </row>
    <row r="1313" spans="1:8" ht="14.1" hidden="1" customHeight="1" x14ac:dyDescent="0.3">
      <c r="A1313" s="114">
        <v>44738</v>
      </c>
      <c r="E1313" s="28">
        <v>0</v>
      </c>
      <c r="G1313" s="35">
        <v>0</v>
      </c>
    </row>
    <row r="1314" spans="1:8" ht="14.1" hidden="1" customHeight="1" x14ac:dyDescent="0.3">
      <c r="A1314" s="114">
        <v>44739</v>
      </c>
      <c r="D1314" s="28">
        <v>34000</v>
      </c>
      <c r="E1314" s="28">
        <v>34000</v>
      </c>
      <c r="G1314" s="35">
        <v>34000</v>
      </c>
    </row>
    <row r="1315" spans="1:8" ht="14.1" hidden="1" customHeight="1" x14ac:dyDescent="0.3">
      <c r="A1315" s="114">
        <v>44740</v>
      </c>
      <c r="D1315" s="28">
        <v>449200</v>
      </c>
      <c r="E1315" s="28">
        <v>449200</v>
      </c>
      <c r="F1315" s="28">
        <v>37472</v>
      </c>
      <c r="G1315" s="35">
        <v>411728</v>
      </c>
    </row>
    <row r="1316" spans="1:8" ht="14.1" hidden="1" customHeight="1" x14ac:dyDescent="0.3">
      <c r="A1316" s="114">
        <v>44741</v>
      </c>
      <c r="E1316" s="28">
        <v>0</v>
      </c>
      <c r="F1316" s="28">
        <v>36700</v>
      </c>
      <c r="G1316" s="35">
        <v>-36700</v>
      </c>
    </row>
    <row r="1317" spans="1:8" ht="14.1" hidden="1" customHeight="1" x14ac:dyDescent="0.3">
      <c r="A1317" s="114">
        <v>44742</v>
      </c>
      <c r="E1317" s="28">
        <v>0</v>
      </c>
      <c r="F1317" s="28">
        <v>3000</v>
      </c>
      <c r="G1317" s="35">
        <v>-3000</v>
      </c>
    </row>
    <row r="1318" spans="1:8" ht="14.1" hidden="1" customHeight="1" x14ac:dyDescent="0.3">
      <c r="E1318" s="28">
        <v>0</v>
      </c>
      <c r="G1318" s="35">
        <v>0</v>
      </c>
    </row>
    <row r="1319" spans="1:8" ht="14.1" hidden="1" customHeight="1" x14ac:dyDescent="0.3">
      <c r="A1319" s="118" t="s">
        <v>24</v>
      </c>
      <c r="B1319" s="28">
        <v>0</v>
      </c>
      <c r="C1319" s="28">
        <v>0</v>
      </c>
      <c r="D1319" s="28">
        <v>1559200</v>
      </c>
      <c r="E1319" s="28">
        <v>1559200</v>
      </c>
      <c r="F1319" s="28">
        <v>686308.28</v>
      </c>
      <c r="G1319" s="35">
        <v>872891.72</v>
      </c>
    </row>
    <row r="1320" spans="1:8" ht="14.1" hidden="1" customHeight="1" x14ac:dyDescent="0.3"/>
    <row r="1321" spans="1:8" ht="14.1" hidden="1" customHeight="1" thickBot="1" x14ac:dyDescent="0.35"/>
    <row r="1322" spans="1:8" ht="14.1" hidden="1" customHeight="1" thickBot="1" x14ac:dyDescent="0.35">
      <c r="A1322" s="113" t="s">
        <v>4</v>
      </c>
      <c r="B1322" s="103" t="s">
        <v>6</v>
      </c>
      <c r="C1322" s="103" t="s">
        <v>7</v>
      </c>
      <c r="D1322" s="103" t="s">
        <v>109</v>
      </c>
      <c r="E1322" s="103" t="s">
        <v>8</v>
      </c>
      <c r="F1322" s="103" t="s">
        <v>9</v>
      </c>
      <c r="G1322" s="103" t="s">
        <v>0</v>
      </c>
    </row>
    <row r="1323" spans="1:8" ht="14.1" hidden="1" customHeight="1" x14ac:dyDescent="0.3">
      <c r="A1323" s="114">
        <v>44682</v>
      </c>
      <c r="E1323" s="28">
        <v>0</v>
      </c>
      <c r="G1323" s="35">
        <v>0</v>
      </c>
    </row>
    <row r="1324" spans="1:8" ht="14.1" hidden="1" customHeight="1" x14ac:dyDescent="0.3">
      <c r="A1324" s="114">
        <v>44683</v>
      </c>
      <c r="D1324" s="28">
        <v>150000</v>
      </c>
      <c r="E1324" s="28">
        <v>150000</v>
      </c>
      <c r="F1324" s="28">
        <v>65272</v>
      </c>
      <c r="G1324" s="35">
        <v>84728</v>
      </c>
    </row>
    <row r="1325" spans="1:8" ht="14.1" hidden="1" customHeight="1" x14ac:dyDescent="0.3">
      <c r="A1325" s="115">
        <v>44684</v>
      </c>
      <c r="B1325" s="45"/>
      <c r="C1325" s="45"/>
      <c r="D1325" s="45">
        <v>542000</v>
      </c>
      <c r="E1325" s="45">
        <v>542000</v>
      </c>
      <c r="F1325" s="45">
        <v>46700</v>
      </c>
      <c r="G1325" s="104">
        <v>495300</v>
      </c>
      <c r="H1325" s="83" t="s">
        <v>85</v>
      </c>
    </row>
    <row r="1326" spans="1:8" ht="14.1" hidden="1" customHeight="1" x14ac:dyDescent="0.3">
      <c r="A1326" s="114">
        <v>44685</v>
      </c>
      <c r="D1326" s="28">
        <v>11200</v>
      </c>
      <c r="E1326" s="28">
        <v>11200</v>
      </c>
      <c r="F1326" s="28">
        <v>20000</v>
      </c>
      <c r="G1326" s="35">
        <v>-8800</v>
      </c>
      <c r="H1326" s="83" t="s">
        <v>91</v>
      </c>
    </row>
    <row r="1327" spans="1:8" ht="14.1" hidden="1" customHeight="1" x14ac:dyDescent="0.3">
      <c r="A1327" s="114">
        <v>44686</v>
      </c>
      <c r="D1327" s="28">
        <v>22400</v>
      </c>
      <c r="E1327" s="28">
        <v>22400</v>
      </c>
      <c r="F1327" s="28">
        <v>60296.5</v>
      </c>
      <c r="G1327" s="35">
        <v>-37896.5</v>
      </c>
      <c r="H1327" s="54" t="s">
        <v>86</v>
      </c>
    </row>
    <row r="1328" spans="1:8" ht="14.1" hidden="1" customHeight="1" x14ac:dyDescent="0.3">
      <c r="A1328" s="114">
        <v>44687</v>
      </c>
      <c r="E1328" s="28">
        <v>0</v>
      </c>
      <c r="F1328" s="28">
        <v>70590</v>
      </c>
      <c r="G1328" s="35">
        <v>-70590</v>
      </c>
    </row>
    <row r="1329" spans="1:8" ht="14.1" hidden="1" customHeight="1" x14ac:dyDescent="0.3">
      <c r="A1329" s="114">
        <v>44688</v>
      </c>
      <c r="D1329" s="71">
        <v>205200</v>
      </c>
      <c r="E1329" s="71">
        <v>205200</v>
      </c>
      <c r="F1329" s="71">
        <v>50180</v>
      </c>
      <c r="G1329" s="105">
        <v>155020</v>
      </c>
    </row>
    <row r="1330" spans="1:8" ht="14.1" hidden="1" customHeight="1" x14ac:dyDescent="0.3">
      <c r="A1330" s="115">
        <v>44689</v>
      </c>
      <c r="B1330" s="45"/>
      <c r="C1330" s="45"/>
      <c r="D1330" s="72">
        <v>220000</v>
      </c>
      <c r="E1330" s="72">
        <v>220000</v>
      </c>
      <c r="F1330" s="72"/>
      <c r="G1330" s="106">
        <v>220000</v>
      </c>
      <c r="H1330" s="83" t="s">
        <v>87</v>
      </c>
    </row>
    <row r="1331" spans="1:8" ht="14.1" hidden="1" customHeight="1" x14ac:dyDescent="0.3">
      <c r="A1331" s="114">
        <v>44690</v>
      </c>
      <c r="E1331" s="28">
        <v>0</v>
      </c>
      <c r="G1331" s="35">
        <v>0</v>
      </c>
    </row>
    <row r="1332" spans="1:8" ht="14.1" hidden="1" customHeight="1" x14ac:dyDescent="0.3">
      <c r="A1332" s="114">
        <v>44691</v>
      </c>
      <c r="E1332" s="28">
        <v>0</v>
      </c>
      <c r="F1332" s="28">
        <v>56570</v>
      </c>
      <c r="G1332" s="35">
        <v>-56570</v>
      </c>
    </row>
    <row r="1333" spans="1:8" ht="14.1" hidden="1" customHeight="1" x14ac:dyDescent="0.3">
      <c r="A1333" s="114">
        <v>44692</v>
      </c>
      <c r="E1333" s="28">
        <v>0</v>
      </c>
      <c r="F1333" s="28">
        <v>23306</v>
      </c>
      <c r="G1333" s="35">
        <v>-23306</v>
      </c>
    </row>
    <row r="1334" spans="1:8" ht="14.1" hidden="1" customHeight="1" x14ac:dyDescent="0.3">
      <c r="A1334" s="114">
        <v>44693</v>
      </c>
      <c r="D1334" s="28">
        <v>38000</v>
      </c>
      <c r="E1334" s="28">
        <v>38000</v>
      </c>
      <c r="G1334" s="35">
        <v>38000</v>
      </c>
      <c r="H1334" s="84" t="s">
        <v>92</v>
      </c>
    </row>
    <row r="1335" spans="1:8" ht="14.1" hidden="1" customHeight="1" x14ac:dyDescent="0.3">
      <c r="A1335" s="115">
        <v>44694</v>
      </c>
      <c r="B1335" s="45"/>
      <c r="C1335" s="45"/>
      <c r="D1335" s="45">
        <v>365500</v>
      </c>
      <c r="E1335" s="45">
        <v>365500</v>
      </c>
      <c r="F1335" s="45">
        <v>31309</v>
      </c>
      <c r="G1335" s="104">
        <v>334191</v>
      </c>
      <c r="H1335" s="83" t="s">
        <v>88</v>
      </c>
    </row>
    <row r="1336" spans="1:8" ht="14.1" hidden="1" customHeight="1" x14ac:dyDescent="0.3">
      <c r="A1336" s="114">
        <v>44695</v>
      </c>
      <c r="E1336" s="28">
        <v>0</v>
      </c>
      <c r="G1336" s="35">
        <v>0</v>
      </c>
    </row>
    <row r="1337" spans="1:8" ht="14.1" hidden="1" customHeight="1" x14ac:dyDescent="0.3">
      <c r="A1337" s="114">
        <v>44696</v>
      </c>
      <c r="E1337" s="28">
        <v>0</v>
      </c>
      <c r="G1337" s="35">
        <v>0</v>
      </c>
    </row>
    <row r="1338" spans="1:8" ht="14.1" hidden="1" customHeight="1" x14ac:dyDescent="0.3">
      <c r="A1338" s="114">
        <v>44697</v>
      </c>
      <c r="E1338" s="28">
        <v>0</v>
      </c>
      <c r="G1338" s="35">
        <v>0</v>
      </c>
    </row>
    <row r="1339" spans="1:8" ht="14.1" hidden="1" customHeight="1" x14ac:dyDescent="0.3">
      <c r="A1339" s="114">
        <v>44698</v>
      </c>
      <c r="E1339" s="28">
        <v>0</v>
      </c>
      <c r="F1339" s="28">
        <v>4220</v>
      </c>
      <c r="G1339" s="35">
        <v>-4220</v>
      </c>
    </row>
    <row r="1340" spans="1:8" ht="14.1" hidden="1" customHeight="1" x14ac:dyDescent="0.3">
      <c r="A1340" s="114">
        <v>44699</v>
      </c>
      <c r="E1340" s="28">
        <v>0</v>
      </c>
      <c r="F1340" s="28">
        <v>96678</v>
      </c>
      <c r="G1340" s="35">
        <v>-96678</v>
      </c>
    </row>
    <row r="1341" spans="1:8" ht="14.1" hidden="1" customHeight="1" x14ac:dyDescent="0.3">
      <c r="A1341" s="114">
        <v>44700</v>
      </c>
      <c r="E1341" s="28">
        <v>0</v>
      </c>
      <c r="G1341" s="35">
        <v>0</v>
      </c>
    </row>
    <row r="1342" spans="1:8" ht="14.1" hidden="1" customHeight="1" x14ac:dyDescent="0.3">
      <c r="A1342" s="114">
        <v>44701</v>
      </c>
      <c r="E1342" s="28">
        <v>0</v>
      </c>
      <c r="F1342" s="28">
        <v>28003</v>
      </c>
      <c r="G1342" s="35">
        <v>-28003</v>
      </c>
    </row>
    <row r="1343" spans="1:8" ht="14.1" hidden="1" customHeight="1" x14ac:dyDescent="0.3">
      <c r="A1343" s="114">
        <v>44702</v>
      </c>
      <c r="E1343" s="28">
        <v>0</v>
      </c>
      <c r="F1343" s="28">
        <v>15000</v>
      </c>
      <c r="G1343" s="35">
        <v>-15000</v>
      </c>
    </row>
    <row r="1344" spans="1:8" ht="14.1" hidden="1" customHeight="1" x14ac:dyDescent="0.3">
      <c r="A1344" s="114">
        <v>44703</v>
      </c>
      <c r="E1344" s="28">
        <v>0</v>
      </c>
      <c r="G1344" s="35">
        <v>0</v>
      </c>
    </row>
    <row r="1345" spans="1:8" ht="14.1" hidden="1" customHeight="1" x14ac:dyDescent="0.3">
      <c r="A1345" s="114">
        <v>44704</v>
      </c>
      <c r="E1345" s="28">
        <v>0</v>
      </c>
      <c r="G1345" s="35">
        <v>0</v>
      </c>
    </row>
    <row r="1346" spans="1:8" ht="14.1" hidden="1" customHeight="1" x14ac:dyDescent="0.3">
      <c r="A1346" s="114">
        <v>44705</v>
      </c>
      <c r="D1346" s="28">
        <v>75600</v>
      </c>
      <c r="E1346" s="28">
        <v>75600</v>
      </c>
      <c r="F1346" s="28">
        <v>14000</v>
      </c>
      <c r="G1346" s="35">
        <v>61600</v>
      </c>
      <c r="H1346" s="54" t="s">
        <v>89</v>
      </c>
    </row>
    <row r="1347" spans="1:8" ht="14.1" hidden="1" customHeight="1" x14ac:dyDescent="0.3">
      <c r="A1347" s="114">
        <v>44706</v>
      </c>
      <c r="D1347" s="28">
        <v>103600</v>
      </c>
      <c r="E1347" s="28">
        <v>103600</v>
      </c>
      <c r="F1347" s="28">
        <f>13371+22000</f>
        <v>35371</v>
      </c>
      <c r="G1347" s="35">
        <v>81600</v>
      </c>
      <c r="H1347" s="84" t="s">
        <v>93</v>
      </c>
    </row>
    <row r="1348" spans="1:8" ht="14.1" hidden="1" customHeight="1" x14ac:dyDescent="0.3">
      <c r="A1348" s="114">
        <v>44707</v>
      </c>
      <c r="D1348" s="28">
        <v>120800</v>
      </c>
      <c r="E1348" s="28">
        <v>120800</v>
      </c>
      <c r="F1348" s="28">
        <v>36912</v>
      </c>
      <c r="G1348" s="35">
        <v>83888</v>
      </c>
    </row>
    <row r="1349" spans="1:8" ht="14.1" hidden="1" customHeight="1" x14ac:dyDescent="0.3">
      <c r="A1349" s="114">
        <v>44708</v>
      </c>
      <c r="E1349" s="28">
        <v>0</v>
      </c>
      <c r="F1349" s="28">
        <v>20000</v>
      </c>
      <c r="G1349" s="35">
        <v>-20000</v>
      </c>
    </row>
    <row r="1350" spans="1:8" ht="14.1" hidden="1" customHeight="1" x14ac:dyDescent="0.3">
      <c r="A1350" s="114">
        <v>44709</v>
      </c>
      <c r="D1350" s="28">
        <v>42000</v>
      </c>
      <c r="E1350" s="28">
        <v>42000</v>
      </c>
      <c r="G1350" s="35">
        <v>42000</v>
      </c>
      <c r="H1350" s="54" t="s">
        <v>90</v>
      </c>
    </row>
    <row r="1351" spans="1:8" ht="14.1" hidden="1" customHeight="1" x14ac:dyDescent="0.3">
      <c r="A1351" s="114">
        <v>44710</v>
      </c>
      <c r="D1351" s="28">
        <v>17000</v>
      </c>
      <c r="E1351" s="28">
        <v>17000</v>
      </c>
      <c r="G1351" s="35">
        <v>17000</v>
      </c>
    </row>
    <row r="1352" spans="1:8" ht="14.1" hidden="1" customHeight="1" x14ac:dyDescent="0.3">
      <c r="A1352" s="114">
        <v>44711</v>
      </c>
      <c r="E1352" s="28">
        <v>0</v>
      </c>
      <c r="F1352" s="28">
        <f>42170+20000+18000</f>
        <v>80170</v>
      </c>
      <c r="G1352" s="35">
        <v>-18000</v>
      </c>
    </row>
    <row r="1353" spans="1:8" ht="14.1" hidden="1" customHeight="1" x14ac:dyDescent="0.3">
      <c r="A1353" s="114">
        <v>44712</v>
      </c>
      <c r="D1353" s="28">
        <v>75600</v>
      </c>
      <c r="E1353" s="28">
        <v>75600</v>
      </c>
      <c r="G1353" s="35">
        <v>75600</v>
      </c>
      <c r="H1353" s="54" t="s">
        <v>89</v>
      </c>
    </row>
    <row r="1354" spans="1:8" ht="14.1" hidden="1" customHeight="1" x14ac:dyDescent="0.3">
      <c r="A1354" s="114" t="s">
        <v>23</v>
      </c>
      <c r="B1354" s="28">
        <v>0</v>
      </c>
      <c r="C1354" s="28">
        <v>0</v>
      </c>
      <c r="D1354" s="28">
        <v>1988900</v>
      </c>
      <c r="E1354" s="28">
        <v>1988900</v>
      </c>
      <c r="F1354" s="28">
        <v>679036.5</v>
      </c>
      <c r="G1354" s="35">
        <v>1309863.5</v>
      </c>
      <c r="H1354" s="51" t="s">
        <v>94</v>
      </c>
    </row>
    <row r="1355" spans="1:8" ht="14.1" hidden="1" customHeight="1" thickBot="1" x14ac:dyDescent="0.35"/>
    <row r="1356" spans="1:8" ht="14.1" hidden="1" customHeight="1" thickBot="1" x14ac:dyDescent="0.35">
      <c r="A1356" s="113" t="s">
        <v>4</v>
      </c>
      <c r="B1356" s="103" t="s">
        <v>6</v>
      </c>
      <c r="C1356" s="103" t="s">
        <v>7</v>
      </c>
      <c r="D1356" s="103" t="s">
        <v>109</v>
      </c>
      <c r="E1356" s="103" t="s">
        <v>8</v>
      </c>
      <c r="F1356" s="103" t="s">
        <v>9</v>
      </c>
      <c r="G1356" s="103" t="s">
        <v>0</v>
      </c>
    </row>
    <row r="1357" spans="1:8" ht="14.1" hidden="1" customHeight="1" x14ac:dyDescent="0.3">
      <c r="A1357" s="114">
        <v>44652</v>
      </c>
      <c r="E1357" s="28">
        <v>0</v>
      </c>
      <c r="F1357" s="28">
        <v>62840</v>
      </c>
      <c r="G1357" s="35">
        <v>-62840</v>
      </c>
    </row>
    <row r="1358" spans="1:8" ht="14.1" hidden="1" customHeight="1" x14ac:dyDescent="0.3">
      <c r="A1358" s="114">
        <v>44653</v>
      </c>
      <c r="D1358" s="28">
        <v>185700</v>
      </c>
      <c r="E1358" s="28">
        <v>185700</v>
      </c>
      <c r="F1358" s="28">
        <v>5745</v>
      </c>
      <c r="G1358" s="35">
        <v>179955</v>
      </c>
    </row>
    <row r="1359" spans="1:8" ht="14.1" hidden="1" customHeight="1" x14ac:dyDescent="0.3">
      <c r="A1359" s="114">
        <v>44654</v>
      </c>
      <c r="D1359" s="28">
        <v>56000</v>
      </c>
      <c r="E1359" s="28">
        <v>56000</v>
      </c>
      <c r="G1359" s="35">
        <v>56000</v>
      </c>
    </row>
    <row r="1360" spans="1:8" ht="14.1" hidden="1" customHeight="1" x14ac:dyDescent="0.3">
      <c r="A1360" s="114">
        <v>44655</v>
      </c>
      <c r="D1360" s="28">
        <v>30000</v>
      </c>
      <c r="E1360" s="28">
        <v>30000</v>
      </c>
      <c r="G1360" s="35">
        <v>30000</v>
      </c>
    </row>
    <row r="1361" spans="1:11" ht="14.1" hidden="1" customHeight="1" x14ac:dyDescent="0.3">
      <c r="A1361" s="114">
        <v>44656</v>
      </c>
      <c r="B1361" s="28">
        <v>45000</v>
      </c>
      <c r="E1361" s="28">
        <v>45000</v>
      </c>
      <c r="G1361" s="35">
        <v>45000</v>
      </c>
    </row>
    <row r="1362" spans="1:11" ht="14.1" hidden="1" customHeight="1" x14ac:dyDescent="0.3">
      <c r="A1362" s="114">
        <v>44657</v>
      </c>
      <c r="D1362" s="28">
        <v>266500</v>
      </c>
      <c r="E1362" s="28">
        <v>266500</v>
      </c>
      <c r="F1362" s="28">
        <v>24000</v>
      </c>
      <c r="G1362" s="35">
        <v>242500</v>
      </c>
    </row>
    <row r="1363" spans="1:11" ht="14.1" hidden="1" customHeight="1" x14ac:dyDescent="0.3">
      <c r="A1363" s="114">
        <v>44658</v>
      </c>
      <c r="D1363" s="28">
        <v>28000</v>
      </c>
      <c r="E1363" s="28">
        <v>28000</v>
      </c>
      <c r="F1363" s="28">
        <v>13500</v>
      </c>
      <c r="G1363" s="35">
        <v>14500</v>
      </c>
    </row>
    <row r="1364" spans="1:11" ht="14.1" hidden="1" customHeight="1" x14ac:dyDescent="0.3">
      <c r="A1364" s="114">
        <v>44659</v>
      </c>
      <c r="D1364" s="28">
        <v>82000</v>
      </c>
      <c r="E1364" s="28">
        <v>82000</v>
      </c>
      <c r="F1364" s="28">
        <v>30730</v>
      </c>
      <c r="G1364" s="35">
        <v>51270</v>
      </c>
    </row>
    <row r="1365" spans="1:11" ht="14.1" hidden="1" customHeight="1" x14ac:dyDescent="0.3">
      <c r="A1365" s="114">
        <v>44660</v>
      </c>
      <c r="E1365" s="28">
        <v>0</v>
      </c>
      <c r="F1365" s="28">
        <v>72112</v>
      </c>
      <c r="G1365" s="35">
        <v>-72112</v>
      </c>
    </row>
    <row r="1366" spans="1:11" ht="14.1" hidden="1" customHeight="1" x14ac:dyDescent="0.3">
      <c r="A1366" s="114">
        <v>44661</v>
      </c>
      <c r="E1366" s="28">
        <v>0</v>
      </c>
      <c r="G1366" s="35">
        <v>0</v>
      </c>
    </row>
    <row r="1367" spans="1:11" ht="14.1" hidden="1" customHeight="1" x14ac:dyDescent="0.3">
      <c r="A1367" s="114">
        <v>44662</v>
      </c>
      <c r="E1367" s="28">
        <v>0</v>
      </c>
      <c r="G1367" s="35">
        <v>0</v>
      </c>
    </row>
    <row r="1368" spans="1:11" ht="14.1" hidden="1" customHeight="1" x14ac:dyDescent="0.3">
      <c r="A1368" s="114">
        <v>44663</v>
      </c>
      <c r="E1368" s="28">
        <v>0</v>
      </c>
      <c r="F1368" s="28">
        <v>56366</v>
      </c>
      <c r="G1368" s="35">
        <v>-56366</v>
      </c>
    </row>
    <row r="1369" spans="1:11" ht="14.1" hidden="1" customHeight="1" x14ac:dyDescent="0.3">
      <c r="A1369" s="114">
        <v>44664</v>
      </c>
      <c r="E1369" s="28">
        <v>0</v>
      </c>
      <c r="F1369" s="28">
        <v>23900</v>
      </c>
      <c r="G1369" s="35">
        <v>-23900</v>
      </c>
    </row>
    <row r="1370" spans="1:11" ht="14.1" hidden="1" customHeight="1" x14ac:dyDescent="0.3">
      <c r="A1370" s="114">
        <v>44665</v>
      </c>
      <c r="D1370" s="28">
        <v>176000</v>
      </c>
      <c r="E1370" s="28">
        <v>176000</v>
      </c>
      <c r="F1370" s="28">
        <v>128769</v>
      </c>
      <c r="G1370" s="35">
        <v>47231</v>
      </c>
    </row>
    <row r="1371" spans="1:11" ht="14.1" hidden="1" customHeight="1" x14ac:dyDescent="0.3">
      <c r="A1371" s="114">
        <v>44666</v>
      </c>
      <c r="D1371" s="28">
        <v>192000</v>
      </c>
      <c r="E1371" s="28">
        <v>192000</v>
      </c>
      <c r="F1371" s="28">
        <v>34730</v>
      </c>
      <c r="G1371" s="35">
        <v>157270</v>
      </c>
    </row>
    <row r="1372" spans="1:11" ht="14.1" hidden="1" customHeight="1" x14ac:dyDescent="0.3">
      <c r="A1372" s="114">
        <v>44667</v>
      </c>
      <c r="D1372" s="28">
        <v>396000</v>
      </c>
      <c r="E1372" s="28">
        <v>396000</v>
      </c>
      <c r="F1372" s="28">
        <v>25000</v>
      </c>
      <c r="G1372" s="35">
        <v>371000</v>
      </c>
    </row>
    <row r="1373" spans="1:11" ht="14.1" hidden="1" customHeight="1" x14ac:dyDescent="0.3">
      <c r="A1373" s="114">
        <v>44668</v>
      </c>
      <c r="D1373" s="28">
        <v>20000</v>
      </c>
      <c r="E1373" s="28">
        <v>20000</v>
      </c>
      <c r="F1373" s="28">
        <v>34628</v>
      </c>
      <c r="G1373" s="35">
        <v>-14628</v>
      </c>
      <c r="K1373" s="44"/>
    </row>
    <row r="1374" spans="1:11" ht="14.1" hidden="1" customHeight="1" x14ac:dyDescent="0.3">
      <c r="A1374" s="114">
        <v>44669</v>
      </c>
      <c r="E1374" s="28">
        <v>0</v>
      </c>
      <c r="F1374" s="28">
        <v>88922</v>
      </c>
      <c r="G1374" s="35">
        <v>-88922</v>
      </c>
    </row>
    <row r="1375" spans="1:11" ht="14.1" hidden="1" customHeight="1" x14ac:dyDescent="0.3">
      <c r="A1375" s="114">
        <v>44670</v>
      </c>
      <c r="D1375" s="28">
        <v>91500</v>
      </c>
      <c r="E1375" s="28">
        <v>91500</v>
      </c>
      <c r="F1375" s="28">
        <v>94645</v>
      </c>
      <c r="G1375" s="35">
        <v>-3145</v>
      </c>
    </row>
    <row r="1376" spans="1:11" ht="14.1" hidden="1" customHeight="1" x14ac:dyDescent="0.3">
      <c r="A1376" s="114">
        <v>44671</v>
      </c>
      <c r="D1376" s="28">
        <v>198000</v>
      </c>
      <c r="E1376" s="28">
        <v>198000</v>
      </c>
      <c r="F1376" s="28">
        <v>26550</v>
      </c>
      <c r="G1376" s="35">
        <v>171450</v>
      </c>
    </row>
    <row r="1377" spans="1:9" ht="14.1" hidden="1" customHeight="1" x14ac:dyDescent="0.3">
      <c r="A1377" s="114">
        <v>44672</v>
      </c>
      <c r="D1377" s="28">
        <v>62500</v>
      </c>
      <c r="E1377" s="28">
        <v>62500</v>
      </c>
      <c r="G1377" s="35">
        <v>62500</v>
      </c>
    </row>
    <row r="1378" spans="1:9" ht="14.1" hidden="1" customHeight="1" x14ac:dyDescent="0.3">
      <c r="A1378" s="114">
        <v>44673</v>
      </c>
      <c r="E1378" s="28">
        <v>0</v>
      </c>
      <c r="F1378" s="28">
        <v>7609</v>
      </c>
      <c r="G1378" s="35">
        <v>-7609</v>
      </c>
    </row>
    <row r="1379" spans="1:9" ht="14.1" hidden="1" customHeight="1" x14ac:dyDescent="0.3">
      <c r="A1379" s="114">
        <v>44674</v>
      </c>
      <c r="D1379" s="28">
        <v>115600</v>
      </c>
      <c r="E1379" s="28">
        <v>115600</v>
      </c>
      <c r="F1379" s="28">
        <v>20700</v>
      </c>
      <c r="G1379" s="35">
        <v>94900</v>
      </c>
    </row>
    <row r="1380" spans="1:9" ht="14.1" hidden="1" customHeight="1" x14ac:dyDescent="0.3">
      <c r="A1380" s="114">
        <v>44675</v>
      </c>
      <c r="E1380" s="28">
        <v>0</v>
      </c>
      <c r="G1380" s="35">
        <v>0</v>
      </c>
    </row>
    <row r="1381" spans="1:9" ht="14.1" hidden="1" customHeight="1" x14ac:dyDescent="0.3">
      <c r="A1381" s="114">
        <v>44676</v>
      </c>
      <c r="E1381" s="28">
        <v>0</v>
      </c>
      <c r="F1381" s="28">
        <v>55130</v>
      </c>
      <c r="G1381" s="35">
        <v>-55130</v>
      </c>
    </row>
    <row r="1382" spans="1:9" ht="14.1" hidden="1" customHeight="1" x14ac:dyDescent="0.3">
      <c r="A1382" s="114">
        <v>44677</v>
      </c>
      <c r="E1382" s="28">
        <v>0</v>
      </c>
      <c r="F1382" s="28">
        <v>16900</v>
      </c>
      <c r="G1382" s="35">
        <v>-16900</v>
      </c>
    </row>
    <row r="1383" spans="1:9" ht="14.1" hidden="1" customHeight="1" x14ac:dyDescent="0.3">
      <c r="A1383" s="114">
        <v>44678</v>
      </c>
      <c r="D1383" s="28">
        <v>23500</v>
      </c>
      <c r="E1383" s="28">
        <v>23500</v>
      </c>
      <c r="F1383" s="28">
        <v>86381</v>
      </c>
      <c r="G1383" s="35">
        <v>-62881</v>
      </c>
    </row>
    <row r="1384" spans="1:9" ht="14.1" hidden="1" customHeight="1" x14ac:dyDescent="0.3">
      <c r="A1384" s="114">
        <v>44679</v>
      </c>
      <c r="D1384" s="28">
        <v>76000</v>
      </c>
      <c r="E1384" s="28">
        <v>76000</v>
      </c>
      <c r="F1384" s="28">
        <v>12000</v>
      </c>
      <c r="G1384" s="35">
        <v>64000</v>
      </c>
      <c r="I1384" s="44"/>
    </row>
    <row r="1385" spans="1:9" ht="14.1" hidden="1" customHeight="1" x14ac:dyDescent="0.3">
      <c r="A1385" s="114">
        <v>44680</v>
      </c>
      <c r="D1385" s="28">
        <v>67200</v>
      </c>
      <c r="E1385" s="28">
        <v>67200</v>
      </c>
      <c r="F1385" s="28">
        <v>15000</v>
      </c>
      <c r="G1385" s="35">
        <v>52200</v>
      </c>
    </row>
    <row r="1386" spans="1:9" ht="14.1" hidden="1" customHeight="1" x14ac:dyDescent="0.3">
      <c r="A1386" s="114">
        <v>44681</v>
      </c>
      <c r="E1386" s="28">
        <v>0</v>
      </c>
      <c r="G1386" s="35">
        <v>0</v>
      </c>
    </row>
    <row r="1387" spans="1:9" ht="15" hidden="1" customHeight="1" x14ac:dyDescent="0.3">
      <c r="E1387" s="28">
        <v>0</v>
      </c>
      <c r="G1387" s="35">
        <v>0</v>
      </c>
      <c r="I1387" s="44"/>
    </row>
    <row r="1388" spans="1:9" ht="15" hidden="1" customHeight="1" x14ac:dyDescent="0.3">
      <c r="A1388" s="114" t="s">
        <v>22</v>
      </c>
      <c r="B1388" s="28">
        <v>45000</v>
      </c>
      <c r="C1388" s="28">
        <v>0</v>
      </c>
      <c r="D1388" s="28">
        <v>2066500</v>
      </c>
      <c r="E1388" s="28">
        <v>2111500</v>
      </c>
      <c r="F1388" s="28">
        <v>936157</v>
      </c>
      <c r="G1388" s="35">
        <v>1175343</v>
      </c>
    </row>
    <row r="1389" spans="1:9" ht="15" hidden="1" customHeight="1" thickBot="1" x14ac:dyDescent="0.35"/>
    <row r="1390" spans="1:9" ht="15" hidden="1" customHeight="1" thickBot="1" x14ac:dyDescent="0.35">
      <c r="A1390" s="113" t="s">
        <v>4</v>
      </c>
      <c r="B1390" s="103" t="s">
        <v>6</v>
      </c>
      <c r="C1390" s="103" t="s">
        <v>7</v>
      </c>
      <c r="D1390" s="103" t="s">
        <v>109</v>
      </c>
      <c r="E1390" s="103" t="s">
        <v>8</v>
      </c>
      <c r="F1390" s="103" t="s">
        <v>9</v>
      </c>
      <c r="G1390" s="103" t="s">
        <v>0</v>
      </c>
    </row>
    <row r="1391" spans="1:9" ht="15" hidden="1" customHeight="1" x14ac:dyDescent="0.3">
      <c r="A1391" s="114">
        <v>44621</v>
      </c>
      <c r="D1391" s="28">
        <v>40000</v>
      </c>
      <c r="E1391" s="28">
        <v>40000</v>
      </c>
      <c r="F1391" s="28">
        <v>58750</v>
      </c>
      <c r="G1391" s="35">
        <v>-18750</v>
      </c>
    </row>
    <row r="1392" spans="1:9" ht="15" hidden="1" customHeight="1" x14ac:dyDescent="0.3">
      <c r="A1392" s="114">
        <v>44622</v>
      </c>
      <c r="D1392" s="28">
        <v>110900</v>
      </c>
      <c r="E1392" s="28">
        <v>110900</v>
      </c>
      <c r="F1392" s="28">
        <v>22702</v>
      </c>
      <c r="G1392" s="35">
        <v>88198</v>
      </c>
    </row>
    <row r="1393" spans="1:7" ht="15" hidden="1" customHeight="1" x14ac:dyDescent="0.3">
      <c r="A1393" s="114">
        <v>44623</v>
      </c>
      <c r="E1393" s="28">
        <v>0</v>
      </c>
      <c r="G1393" s="35">
        <v>0</v>
      </c>
    </row>
    <row r="1394" spans="1:7" ht="15" hidden="1" customHeight="1" x14ac:dyDescent="0.3">
      <c r="A1394" s="114">
        <v>44624</v>
      </c>
      <c r="D1394" s="28">
        <v>21000</v>
      </c>
      <c r="E1394" s="28">
        <v>21000</v>
      </c>
      <c r="F1394" s="28">
        <v>39124</v>
      </c>
      <c r="G1394" s="35">
        <v>-18124</v>
      </c>
    </row>
    <row r="1395" spans="1:7" ht="15" hidden="1" customHeight="1" x14ac:dyDescent="0.3">
      <c r="A1395" s="114">
        <v>44625</v>
      </c>
      <c r="D1395" s="28">
        <v>182500</v>
      </c>
      <c r="E1395" s="28">
        <v>182500</v>
      </c>
      <c r="G1395" s="35">
        <v>182500</v>
      </c>
    </row>
    <row r="1396" spans="1:7" ht="15" hidden="1" customHeight="1" x14ac:dyDescent="0.3">
      <c r="A1396" s="114">
        <v>44626</v>
      </c>
      <c r="D1396" s="28">
        <v>154500</v>
      </c>
      <c r="E1396" s="28">
        <v>154500</v>
      </c>
      <c r="G1396" s="35">
        <v>154500</v>
      </c>
    </row>
    <row r="1397" spans="1:7" ht="15" hidden="1" customHeight="1" x14ac:dyDescent="0.3">
      <c r="A1397" s="114">
        <v>44627</v>
      </c>
      <c r="E1397" s="28">
        <v>0</v>
      </c>
      <c r="G1397" s="35">
        <v>0</v>
      </c>
    </row>
    <row r="1398" spans="1:7" ht="15" hidden="1" customHeight="1" x14ac:dyDescent="0.3">
      <c r="A1398" s="114">
        <v>44628</v>
      </c>
      <c r="E1398" s="28">
        <v>0</v>
      </c>
      <c r="G1398" s="35">
        <v>0</v>
      </c>
    </row>
    <row r="1399" spans="1:7" ht="15" hidden="1" customHeight="1" x14ac:dyDescent="0.3">
      <c r="A1399" s="114">
        <v>44629</v>
      </c>
      <c r="D1399" s="28">
        <v>70000</v>
      </c>
      <c r="E1399" s="28">
        <v>70000</v>
      </c>
      <c r="F1399" s="28">
        <v>45000</v>
      </c>
      <c r="G1399" s="35">
        <v>25000</v>
      </c>
    </row>
    <row r="1400" spans="1:7" ht="15" hidden="1" customHeight="1" x14ac:dyDescent="0.3">
      <c r="A1400" s="114">
        <v>44630</v>
      </c>
      <c r="E1400" s="28">
        <v>0</v>
      </c>
      <c r="F1400" s="28">
        <v>95658</v>
      </c>
      <c r="G1400" s="35">
        <v>-95658</v>
      </c>
    </row>
    <row r="1401" spans="1:7" ht="15" hidden="1" customHeight="1" x14ac:dyDescent="0.3">
      <c r="A1401" s="114">
        <v>44631</v>
      </c>
      <c r="D1401" s="28">
        <v>15000</v>
      </c>
      <c r="E1401" s="28">
        <v>15000</v>
      </c>
      <c r="F1401" s="28">
        <v>15000</v>
      </c>
      <c r="G1401" s="35">
        <v>0</v>
      </c>
    </row>
    <row r="1402" spans="1:7" ht="15" hidden="1" customHeight="1" x14ac:dyDescent="0.3">
      <c r="A1402" s="114">
        <v>44632</v>
      </c>
      <c r="D1402" s="28">
        <v>103500</v>
      </c>
      <c r="E1402" s="28">
        <v>103500</v>
      </c>
      <c r="G1402" s="35">
        <v>103500</v>
      </c>
    </row>
    <row r="1403" spans="1:7" ht="15" hidden="1" customHeight="1" x14ac:dyDescent="0.3">
      <c r="A1403" s="114">
        <v>44633</v>
      </c>
      <c r="D1403" s="28">
        <v>52500</v>
      </c>
      <c r="E1403" s="28">
        <v>52500</v>
      </c>
      <c r="G1403" s="35">
        <v>52500</v>
      </c>
    </row>
    <row r="1404" spans="1:7" ht="15" hidden="1" customHeight="1" x14ac:dyDescent="0.3">
      <c r="A1404" s="114">
        <v>44634</v>
      </c>
      <c r="E1404" s="28">
        <v>0</v>
      </c>
      <c r="G1404" s="35">
        <v>0</v>
      </c>
    </row>
    <row r="1405" spans="1:7" ht="15" hidden="1" customHeight="1" x14ac:dyDescent="0.3">
      <c r="A1405" s="114">
        <v>44635</v>
      </c>
      <c r="E1405" s="28">
        <v>0</v>
      </c>
      <c r="G1405" s="35">
        <v>0</v>
      </c>
    </row>
    <row r="1406" spans="1:7" ht="15" hidden="1" customHeight="1" x14ac:dyDescent="0.3">
      <c r="A1406" s="114">
        <v>44636</v>
      </c>
      <c r="E1406" s="28">
        <v>0</v>
      </c>
      <c r="G1406" s="35">
        <v>0</v>
      </c>
    </row>
    <row r="1407" spans="1:7" ht="15" hidden="1" customHeight="1" x14ac:dyDescent="0.3">
      <c r="A1407" s="114">
        <v>44637</v>
      </c>
      <c r="D1407" s="28">
        <v>150000</v>
      </c>
      <c r="E1407" s="28">
        <v>150000</v>
      </c>
      <c r="F1407" s="28">
        <v>7490</v>
      </c>
      <c r="G1407" s="35">
        <v>142510</v>
      </c>
    </row>
    <row r="1408" spans="1:7" ht="15" hidden="1" customHeight="1" x14ac:dyDescent="0.3">
      <c r="A1408" s="114">
        <v>44638</v>
      </c>
      <c r="E1408" s="28">
        <v>0</v>
      </c>
      <c r="F1408" s="28">
        <f>53900+23290</f>
        <v>77190</v>
      </c>
      <c r="G1408" s="35">
        <f>F1408</f>
        <v>77190</v>
      </c>
    </row>
    <row r="1409" spans="1:7" ht="15" hidden="1" customHeight="1" x14ac:dyDescent="0.3">
      <c r="A1409" s="114">
        <v>44639</v>
      </c>
      <c r="D1409" s="28">
        <v>75000</v>
      </c>
      <c r="E1409" s="28">
        <v>75000</v>
      </c>
      <c r="F1409" s="28">
        <v>10000</v>
      </c>
      <c r="G1409" s="35">
        <v>65000</v>
      </c>
    </row>
    <row r="1410" spans="1:7" ht="15" hidden="1" customHeight="1" x14ac:dyDescent="0.3">
      <c r="A1410" s="114">
        <v>44640</v>
      </c>
      <c r="D1410" s="28">
        <v>66500</v>
      </c>
      <c r="E1410" s="28">
        <v>66500</v>
      </c>
      <c r="G1410" s="35">
        <v>66500</v>
      </c>
    </row>
    <row r="1411" spans="1:7" ht="15" hidden="1" customHeight="1" x14ac:dyDescent="0.3">
      <c r="A1411" s="114">
        <v>44641</v>
      </c>
      <c r="E1411" s="28">
        <v>0</v>
      </c>
      <c r="F1411" s="28">
        <v>55950</v>
      </c>
      <c r="G1411" s="35">
        <v>-55950</v>
      </c>
    </row>
    <row r="1412" spans="1:7" ht="15" hidden="1" customHeight="1" x14ac:dyDescent="0.3">
      <c r="A1412" s="114">
        <v>44642</v>
      </c>
      <c r="E1412" s="28">
        <v>0</v>
      </c>
      <c r="F1412" s="28">
        <v>103061</v>
      </c>
      <c r="G1412" s="35">
        <v>-103061</v>
      </c>
    </row>
    <row r="1413" spans="1:7" ht="15" hidden="1" customHeight="1" x14ac:dyDescent="0.3">
      <c r="A1413" s="114">
        <v>44643</v>
      </c>
      <c r="E1413" s="28">
        <v>0</v>
      </c>
      <c r="G1413" s="35">
        <v>0</v>
      </c>
    </row>
    <row r="1414" spans="1:7" ht="15" hidden="1" customHeight="1" x14ac:dyDescent="0.3">
      <c r="A1414" s="114">
        <v>44644</v>
      </c>
      <c r="E1414" s="28">
        <v>0</v>
      </c>
      <c r="F1414" s="28">
        <v>10000</v>
      </c>
      <c r="G1414" s="35">
        <v>-10000</v>
      </c>
    </row>
    <row r="1415" spans="1:7" ht="15" hidden="1" customHeight="1" x14ac:dyDescent="0.3">
      <c r="A1415" s="114">
        <v>44645</v>
      </c>
      <c r="E1415" s="28">
        <v>0</v>
      </c>
      <c r="F1415" s="28">
        <v>1660</v>
      </c>
      <c r="G1415" s="35">
        <v>-1660</v>
      </c>
    </row>
    <row r="1416" spans="1:7" ht="15" hidden="1" customHeight="1" x14ac:dyDescent="0.3">
      <c r="A1416" s="114">
        <v>44646</v>
      </c>
      <c r="D1416" s="28">
        <v>112900</v>
      </c>
      <c r="E1416" s="28">
        <v>112900</v>
      </c>
      <c r="G1416" s="35">
        <v>112900</v>
      </c>
    </row>
    <row r="1417" spans="1:7" ht="15" hidden="1" customHeight="1" x14ac:dyDescent="0.3">
      <c r="A1417" s="114">
        <v>44647</v>
      </c>
      <c r="D1417" s="28">
        <v>67000</v>
      </c>
      <c r="E1417" s="28">
        <v>67000</v>
      </c>
      <c r="F1417" s="28">
        <v>4079</v>
      </c>
      <c r="G1417" s="35">
        <v>62921</v>
      </c>
    </row>
    <row r="1418" spans="1:7" ht="15" hidden="1" customHeight="1" x14ac:dyDescent="0.3">
      <c r="A1418" s="114">
        <v>44648</v>
      </c>
      <c r="D1418" s="28">
        <v>15000</v>
      </c>
      <c r="E1418" s="28">
        <v>15000</v>
      </c>
      <c r="F1418" s="28">
        <v>8589</v>
      </c>
      <c r="G1418" s="35">
        <v>6411</v>
      </c>
    </row>
    <row r="1419" spans="1:7" ht="15" hidden="1" customHeight="1" x14ac:dyDescent="0.3">
      <c r="A1419" s="114">
        <v>44649</v>
      </c>
      <c r="E1419" s="28">
        <v>0</v>
      </c>
      <c r="G1419" s="35">
        <v>0</v>
      </c>
    </row>
    <row r="1420" spans="1:7" ht="15" hidden="1" customHeight="1" x14ac:dyDescent="0.3">
      <c r="A1420" s="114">
        <v>44650</v>
      </c>
      <c r="D1420" s="28">
        <v>28000</v>
      </c>
      <c r="E1420" s="28">
        <v>28000</v>
      </c>
      <c r="F1420" s="28">
        <v>26825</v>
      </c>
      <c r="G1420" s="35">
        <v>1175</v>
      </c>
    </row>
    <row r="1421" spans="1:7" ht="15" hidden="1" customHeight="1" x14ac:dyDescent="0.3">
      <c r="A1421" s="114">
        <v>44651</v>
      </c>
      <c r="E1421" s="28">
        <v>0</v>
      </c>
      <c r="F1421" s="28">
        <v>26500</v>
      </c>
      <c r="G1421" s="35">
        <v>0</v>
      </c>
    </row>
    <row r="1422" spans="1:7" ht="15" hidden="1" customHeight="1" x14ac:dyDescent="0.3">
      <c r="A1422" s="118" t="s">
        <v>21</v>
      </c>
      <c r="B1422" s="28">
        <v>0</v>
      </c>
      <c r="C1422" s="28">
        <v>0</v>
      </c>
      <c r="D1422" s="28">
        <v>1264300</v>
      </c>
      <c r="E1422" s="28">
        <v>1264300</v>
      </c>
      <c r="F1422" s="28">
        <f>SUM(F1391:F1421)</f>
        <v>607578</v>
      </c>
      <c r="G1422" s="35">
        <f>E1422-F1422</f>
        <v>656722</v>
      </c>
    </row>
    <row r="1423" spans="1:7" ht="15" hidden="1" customHeight="1" thickBot="1" x14ac:dyDescent="0.35"/>
    <row r="1424" spans="1:7" ht="15" hidden="1" customHeight="1" thickBot="1" x14ac:dyDescent="0.35">
      <c r="A1424" s="113" t="s">
        <v>4</v>
      </c>
      <c r="B1424" s="103" t="s">
        <v>6</v>
      </c>
      <c r="C1424" s="103" t="s">
        <v>7</v>
      </c>
      <c r="D1424" s="103" t="s">
        <v>109</v>
      </c>
      <c r="E1424" s="103" t="s">
        <v>8</v>
      </c>
      <c r="F1424" s="103" t="s">
        <v>9</v>
      </c>
      <c r="G1424" s="103" t="s">
        <v>0</v>
      </c>
    </row>
    <row r="1425" spans="1:7" ht="15" hidden="1" customHeight="1" x14ac:dyDescent="0.3">
      <c r="A1425" s="114">
        <v>44593</v>
      </c>
      <c r="E1425" s="28">
        <v>0</v>
      </c>
      <c r="F1425" s="28">
        <v>42750</v>
      </c>
      <c r="G1425" s="35">
        <v>-42750</v>
      </c>
    </row>
    <row r="1426" spans="1:7" ht="15" hidden="1" customHeight="1" x14ac:dyDescent="0.3">
      <c r="A1426" s="114">
        <v>44594</v>
      </c>
      <c r="E1426" s="28">
        <v>0</v>
      </c>
      <c r="G1426" s="35">
        <v>0</v>
      </c>
    </row>
    <row r="1427" spans="1:7" ht="15" hidden="1" customHeight="1" x14ac:dyDescent="0.3">
      <c r="A1427" s="114">
        <v>44595</v>
      </c>
      <c r="E1427" s="28">
        <v>0</v>
      </c>
      <c r="F1427" s="28">
        <v>9221</v>
      </c>
      <c r="G1427" s="35">
        <v>-9221</v>
      </c>
    </row>
    <row r="1428" spans="1:7" ht="15" hidden="1" customHeight="1" x14ac:dyDescent="0.3">
      <c r="A1428" s="114">
        <v>44596</v>
      </c>
      <c r="B1428" s="28">
        <v>81250</v>
      </c>
      <c r="E1428" s="28">
        <v>81250</v>
      </c>
      <c r="G1428" s="35">
        <v>81250</v>
      </c>
    </row>
    <row r="1429" spans="1:7" ht="15" hidden="1" customHeight="1" x14ac:dyDescent="0.3">
      <c r="A1429" s="114">
        <v>44597</v>
      </c>
      <c r="E1429" s="28">
        <v>0</v>
      </c>
      <c r="G1429" s="35">
        <v>0</v>
      </c>
    </row>
    <row r="1430" spans="1:7" ht="15" hidden="1" customHeight="1" x14ac:dyDescent="0.3">
      <c r="A1430" s="114">
        <v>44598</v>
      </c>
      <c r="B1430" s="28">
        <v>21000</v>
      </c>
      <c r="E1430" s="28">
        <v>21000</v>
      </c>
      <c r="G1430" s="35">
        <v>21000</v>
      </c>
    </row>
    <row r="1431" spans="1:7" ht="15" hidden="1" customHeight="1" x14ac:dyDescent="0.3">
      <c r="A1431" s="114">
        <v>44599</v>
      </c>
      <c r="E1431" s="28">
        <v>0</v>
      </c>
      <c r="G1431" s="35">
        <v>0</v>
      </c>
    </row>
    <row r="1432" spans="1:7" ht="15" hidden="1" customHeight="1" x14ac:dyDescent="0.3">
      <c r="A1432" s="114">
        <v>44600</v>
      </c>
      <c r="D1432" s="28">
        <v>29500</v>
      </c>
      <c r="E1432" s="28">
        <v>29500</v>
      </c>
      <c r="G1432" s="35">
        <v>29500</v>
      </c>
    </row>
    <row r="1433" spans="1:7" ht="15" hidden="1" customHeight="1" x14ac:dyDescent="0.3">
      <c r="A1433" s="114">
        <v>44601</v>
      </c>
      <c r="E1433" s="28">
        <v>0</v>
      </c>
      <c r="F1433" s="28">
        <v>26031</v>
      </c>
      <c r="G1433" s="35">
        <v>-26031</v>
      </c>
    </row>
    <row r="1434" spans="1:7" ht="15" hidden="1" customHeight="1" x14ac:dyDescent="0.3">
      <c r="A1434" s="114">
        <v>44602</v>
      </c>
      <c r="E1434" s="28">
        <v>0</v>
      </c>
      <c r="G1434" s="35">
        <v>0</v>
      </c>
    </row>
    <row r="1435" spans="1:7" ht="15" hidden="1" customHeight="1" x14ac:dyDescent="0.3">
      <c r="A1435" s="114">
        <v>44603</v>
      </c>
      <c r="B1435" s="28">
        <v>89700</v>
      </c>
      <c r="E1435" s="28">
        <v>89700</v>
      </c>
      <c r="F1435" s="28">
        <v>51749</v>
      </c>
      <c r="G1435" s="35">
        <v>37951</v>
      </c>
    </row>
    <row r="1436" spans="1:7" ht="15" hidden="1" customHeight="1" x14ac:dyDescent="0.3">
      <c r="A1436" s="114">
        <v>44604</v>
      </c>
      <c r="B1436" s="28">
        <v>22700</v>
      </c>
      <c r="D1436" s="28">
        <v>260000</v>
      </c>
      <c r="E1436" s="28">
        <v>282700</v>
      </c>
      <c r="F1436" s="28">
        <v>19940</v>
      </c>
      <c r="G1436" s="35">
        <v>262760</v>
      </c>
    </row>
    <row r="1437" spans="1:7" ht="15" hidden="1" customHeight="1" x14ac:dyDescent="0.3">
      <c r="A1437" s="114">
        <v>44605</v>
      </c>
      <c r="B1437" s="28">
        <v>128400</v>
      </c>
      <c r="E1437" s="28">
        <v>128400</v>
      </c>
      <c r="F1437" s="28">
        <v>96610</v>
      </c>
      <c r="G1437" s="35">
        <v>31790</v>
      </c>
    </row>
    <row r="1438" spans="1:7" ht="15" hidden="1" customHeight="1" x14ac:dyDescent="0.3">
      <c r="A1438" s="114">
        <v>44606</v>
      </c>
      <c r="D1438" s="28">
        <v>149000</v>
      </c>
      <c r="E1438" s="28">
        <v>149000</v>
      </c>
      <c r="G1438" s="35">
        <v>149000</v>
      </c>
    </row>
    <row r="1439" spans="1:7" ht="15" hidden="1" customHeight="1" x14ac:dyDescent="0.3">
      <c r="A1439" s="114">
        <v>44607</v>
      </c>
      <c r="E1439" s="28">
        <v>0</v>
      </c>
      <c r="G1439" s="35">
        <v>0</v>
      </c>
    </row>
    <row r="1440" spans="1:7" ht="15" hidden="1" customHeight="1" x14ac:dyDescent="0.3">
      <c r="A1440" s="114">
        <v>44608</v>
      </c>
      <c r="E1440" s="28">
        <v>0</v>
      </c>
      <c r="F1440" s="28">
        <v>8495</v>
      </c>
      <c r="G1440" s="35">
        <v>-8495</v>
      </c>
    </row>
    <row r="1441" spans="1:7" ht="15" hidden="1" customHeight="1" x14ac:dyDescent="0.3">
      <c r="A1441" s="114">
        <v>44609</v>
      </c>
      <c r="E1441" s="28">
        <v>0</v>
      </c>
      <c r="F1441" s="28">
        <v>47980</v>
      </c>
      <c r="G1441" s="35">
        <v>-47980</v>
      </c>
    </row>
    <row r="1442" spans="1:7" ht="15" hidden="1" customHeight="1" x14ac:dyDescent="0.3">
      <c r="A1442" s="114">
        <v>44610</v>
      </c>
      <c r="D1442" s="28">
        <v>38400</v>
      </c>
      <c r="E1442" s="28">
        <v>38400</v>
      </c>
      <c r="F1442" s="28">
        <v>7290</v>
      </c>
      <c r="G1442" s="35">
        <v>31110</v>
      </c>
    </row>
    <row r="1443" spans="1:7" ht="15" hidden="1" customHeight="1" x14ac:dyDescent="0.3">
      <c r="A1443" s="114">
        <v>44611</v>
      </c>
      <c r="D1443" s="28">
        <v>98500</v>
      </c>
      <c r="E1443" s="28">
        <v>98500</v>
      </c>
      <c r="F1443" s="28">
        <v>30200</v>
      </c>
      <c r="G1443" s="35">
        <v>68300</v>
      </c>
    </row>
    <row r="1444" spans="1:7" ht="15" hidden="1" customHeight="1" x14ac:dyDescent="0.3">
      <c r="A1444" s="114">
        <v>44612</v>
      </c>
      <c r="D1444" s="28">
        <v>73500</v>
      </c>
      <c r="E1444" s="28">
        <v>73500</v>
      </c>
      <c r="G1444" s="35">
        <v>73500</v>
      </c>
    </row>
    <row r="1445" spans="1:7" ht="15" hidden="1" customHeight="1" x14ac:dyDescent="0.3">
      <c r="A1445" s="114">
        <v>44613</v>
      </c>
      <c r="E1445" s="28">
        <v>0</v>
      </c>
      <c r="G1445" s="35">
        <v>0</v>
      </c>
    </row>
    <row r="1446" spans="1:7" ht="15" hidden="1" customHeight="1" x14ac:dyDescent="0.3">
      <c r="A1446" s="114">
        <v>44614</v>
      </c>
      <c r="E1446" s="28">
        <v>0</v>
      </c>
      <c r="G1446" s="35">
        <v>0</v>
      </c>
    </row>
    <row r="1447" spans="1:7" ht="15" hidden="1" customHeight="1" x14ac:dyDescent="0.3">
      <c r="A1447" s="114">
        <v>44615</v>
      </c>
      <c r="E1447" s="28">
        <v>0</v>
      </c>
      <c r="F1447" s="28">
        <v>48274</v>
      </c>
      <c r="G1447" s="35">
        <v>-48274</v>
      </c>
    </row>
    <row r="1448" spans="1:7" ht="15" hidden="1" customHeight="1" x14ac:dyDescent="0.3">
      <c r="A1448" s="114">
        <v>44616</v>
      </c>
      <c r="D1448" s="28">
        <v>240000</v>
      </c>
      <c r="E1448" s="28">
        <v>240000</v>
      </c>
      <c r="G1448" s="35">
        <v>240000</v>
      </c>
    </row>
    <row r="1449" spans="1:7" ht="15" hidden="1" customHeight="1" x14ac:dyDescent="0.3">
      <c r="A1449" s="114">
        <v>44617</v>
      </c>
      <c r="D1449" s="28">
        <v>39000</v>
      </c>
      <c r="E1449" s="28">
        <v>39000</v>
      </c>
      <c r="F1449" s="28">
        <v>93013</v>
      </c>
      <c r="G1449" s="35">
        <v>-54013</v>
      </c>
    </row>
    <row r="1450" spans="1:7" ht="15" hidden="1" customHeight="1" x14ac:dyDescent="0.3">
      <c r="A1450" s="114">
        <v>44618</v>
      </c>
      <c r="D1450" s="28">
        <v>94500</v>
      </c>
      <c r="E1450" s="28">
        <v>94500</v>
      </c>
      <c r="G1450" s="35">
        <v>94500</v>
      </c>
    </row>
    <row r="1451" spans="1:7" ht="15" hidden="1" customHeight="1" x14ac:dyDescent="0.3">
      <c r="A1451" s="114">
        <v>44619</v>
      </c>
      <c r="D1451" s="28">
        <v>91000</v>
      </c>
      <c r="E1451" s="28">
        <v>91000</v>
      </c>
      <c r="F1451" s="28">
        <v>63693</v>
      </c>
      <c r="G1451" s="35">
        <v>27307</v>
      </c>
    </row>
    <row r="1452" spans="1:7" ht="15" hidden="1" customHeight="1" x14ac:dyDescent="0.3">
      <c r="A1452" s="114">
        <v>44620</v>
      </c>
      <c r="D1452" s="28">
        <v>105600</v>
      </c>
      <c r="E1452" s="28">
        <v>105600</v>
      </c>
      <c r="G1452" s="35">
        <v>105600</v>
      </c>
    </row>
    <row r="1453" spans="1:7" ht="15" hidden="1" customHeight="1" x14ac:dyDescent="0.3">
      <c r="A1453" s="114">
        <v>44621</v>
      </c>
      <c r="E1453" s="28">
        <v>0</v>
      </c>
      <c r="G1453" s="35">
        <v>0</v>
      </c>
    </row>
    <row r="1454" spans="1:7" ht="15" hidden="1" customHeight="1" x14ac:dyDescent="0.3">
      <c r="A1454" s="114">
        <v>44622</v>
      </c>
      <c r="E1454" s="28">
        <v>0</v>
      </c>
      <c r="G1454" s="35">
        <v>0</v>
      </c>
    </row>
    <row r="1455" spans="1:7" ht="15" hidden="1" customHeight="1" x14ac:dyDescent="0.3">
      <c r="A1455" s="114">
        <v>44623</v>
      </c>
      <c r="E1455" s="28">
        <v>0</v>
      </c>
      <c r="G1455" s="35">
        <v>0</v>
      </c>
    </row>
    <row r="1456" spans="1:7" ht="15" hidden="1" customHeight="1" x14ac:dyDescent="0.3">
      <c r="A1456" s="114" t="s">
        <v>20</v>
      </c>
      <c r="B1456" s="28">
        <v>343050</v>
      </c>
      <c r="C1456" s="28">
        <v>0</v>
      </c>
      <c r="D1456" s="28">
        <v>1219000</v>
      </c>
      <c r="E1456" s="28">
        <v>1562050</v>
      </c>
      <c r="F1456" s="28">
        <v>545246</v>
      </c>
      <c r="G1456" s="35">
        <v>1016804</v>
      </c>
    </row>
    <row r="1457" spans="1:7" ht="15" hidden="1" customHeight="1" thickBot="1" x14ac:dyDescent="0.35"/>
    <row r="1458" spans="1:7" ht="15" hidden="1" customHeight="1" thickBot="1" x14ac:dyDescent="0.35">
      <c r="A1458" s="113" t="s">
        <v>4</v>
      </c>
      <c r="B1458" s="103" t="s">
        <v>6</v>
      </c>
      <c r="C1458" s="103" t="s">
        <v>7</v>
      </c>
      <c r="D1458" s="103" t="s">
        <v>109</v>
      </c>
      <c r="E1458" s="103" t="s">
        <v>8</v>
      </c>
      <c r="F1458" s="103" t="s">
        <v>9</v>
      </c>
      <c r="G1458" s="103" t="s">
        <v>0</v>
      </c>
    </row>
    <row r="1459" spans="1:7" ht="15" hidden="1" customHeight="1" x14ac:dyDescent="0.3">
      <c r="A1459" s="114">
        <v>44562</v>
      </c>
      <c r="E1459" s="28">
        <v>0</v>
      </c>
      <c r="G1459" s="35">
        <v>0</v>
      </c>
    </row>
    <row r="1460" spans="1:7" ht="15" hidden="1" customHeight="1" x14ac:dyDescent="0.3">
      <c r="A1460" s="114">
        <v>44563</v>
      </c>
      <c r="E1460" s="28">
        <v>0</v>
      </c>
      <c r="G1460" s="35">
        <v>0</v>
      </c>
    </row>
    <row r="1461" spans="1:7" ht="15" hidden="1" customHeight="1" x14ac:dyDescent="0.3">
      <c r="A1461" s="114">
        <v>44564</v>
      </c>
      <c r="B1461" s="28">
        <v>234100</v>
      </c>
      <c r="E1461" s="28">
        <v>234100</v>
      </c>
      <c r="G1461" s="35">
        <v>234100</v>
      </c>
    </row>
    <row r="1462" spans="1:7" ht="15" hidden="1" customHeight="1" x14ac:dyDescent="0.3">
      <c r="A1462" s="114">
        <v>44565</v>
      </c>
      <c r="E1462" s="28">
        <v>0</v>
      </c>
      <c r="G1462" s="35">
        <v>0</v>
      </c>
    </row>
    <row r="1463" spans="1:7" ht="15" hidden="1" customHeight="1" x14ac:dyDescent="0.3">
      <c r="A1463" s="114">
        <v>44566</v>
      </c>
      <c r="E1463" s="28">
        <v>0</v>
      </c>
      <c r="G1463" s="35">
        <v>0</v>
      </c>
    </row>
    <row r="1464" spans="1:7" ht="15" hidden="1" customHeight="1" x14ac:dyDescent="0.3">
      <c r="A1464" s="114">
        <v>44567</v>
      </c>
      <c r="B1464" s="28">
        <v>100000</v>
      </c>
      <c r="E1464" s="28">
        <v>100000</v>
      </c>
      <c r="G1464" s="35">
        <v>100000</v>
      </c>
    </row>
    <row r="1465" spans="1:7" ht="15" hidden="1" customHeight="1" x14ac:dyDescent="0.3">
      <c r="A1465" s="114">
        <v>44568</v>
      </c>
      <c r="E1465" s="28">
        <v>0</v>
      </c>
      <c r="G1465" s="35">
        <v>0</v>
      </c>
    </row>
    <row r="1466" spans="1:7" ht="15" hidden="1" customHeight="1" x14ac:dyDescent="0.3">
      <c r="A1466" s="114">
        <v>44569</v>
      </c>
      <c r="E1466" s="28">
        <v>0</v>
      </c>
      <c r="G1466" s="35">
        <v>0</v>
      </c>
    </row>
    <row r="1467" spans="1:7" ht="15" hidden="1" customHeight="1" x14ac:dyDescent="0.3">
      <c r="A1467" s="114">
        <v>44570</v>
      </c>
      <c r="E1467" s="28">
        <v>0</v>
      </c>
      <c r="G1467" s="35">
        <v>0</v>
      </c>
    </row>
    <row r="1468" spans="1:7" ht="15" hidden="1" customHeight="1" x14ac:dyDescent="0.3">
      <c r="A1468" s="114">
        <v>44571</v>
      </c>
      <c r="E1468" s="28">
        <v>0</v>
      </c>
      <c r="G1468" s="35">
        <v>0</v>
      </c>
    </row>
    <row r="1469" spans="1:7" ht="15" hidden="1" customHeight="1" x14ac:dyDescent="0.3">
      <c r="A1469" s="114">
        <v>44572</v>
      </c>
      <c r="E1469" s="28">
        <v>0</v>
      </c>
      <c r="G1469" s="35">
        <v>0</v>
      </c>
    </row>
    <row r="1470" spans="1:7" ht="15" hidden="1" customHeight="1" x14ac:dyDescent="0.3">
      <c r="A1470" s="114">
        <v>44573</v>
      </c>
      <c r="E1470" s="28">
        <v>0</v>
      </c>
      <c r="G1470" s="35">
        <v>0</v>
      </c>
    </row>
    <row r="1471" spans="1:7" ht="15" hidden="1" customHeight="1" x14ac:dyDescent="0.3">
      <c r="A1471" s="114">
        <v>44574</v>
      </c>
      <c r="E1471" s="28">
        <v>0</v>
      </c>
      <c r="G1471" s="35">
        <v>0</v>
      </c>
    </row>
    <row r="1472" spans="1:7" ht="15" hidden="1" customHeight="1" x14ac:dyDescent="0.3">
      <c r="A1472" s="114">
        <v>44575</v>
      </c>
      <c r="E1472" s="28">
        <v>0</v>
      </c>
      <c r="G1472" s="35">
        <v>0</v>
      </c>
    </row>
    <row r="1473" spans="1:7" ht="15" hidden="1" customHeight="1" x14ac:dyDescent="0.3">
      <c r="A1473" s="114">
        <v>44576</v>
      </c>
      <c r="E1473" s="28">
        <v>0</v>
      </c>
      <c r="G1473" s="35">
        <v>0</v>
      </c>
    </row>
    <row r="1474" spans="1:7" ht="15" hidden="1" customHeight="1" x14ac:dyDescent="0.3">
      <c r="A1474" s="114">
        <v>44577</v>
      </c>
      <c r="E1474" s="28">
        <v>0</v>
      </c>
      <c r="G1474" s="35">
        <v>0</v>
      </c>
    </row>
    <row r="1475" spans="1:7" ht="15" hidden="1" customHeight="1" x14ac:dyDescent="0.3">
      <c r="A1475" s="114">
        <v>44578</v>
      </c>
      <c r="E1475" s="28">
        <v>0</v>
      </c>
      <c r="G1475" s="35">
        <v>0</v>
      </c>
    </row>
    <row r="1476" spans="1:7" ht="15" hidden="1" customHeight="1" x14ac:dyDescent="0.3">
      <c r="A1476" s="114">
        <v>44579</v>
      </c>
      <c r="E1476" s="28">
        <v>0</v>
      </c>
      <c r="G1476" s="35">
        <v>0</v>
      </c>
    </row>
    <row r="1477" spans="1:7" ht="15" hidden="1" customHeight="1" x14ac:dyDescent="0.3">
      <c r="A1477" s="114">
        <v>44580</v>
      </c>
      <c r="D1477" s="28">
        <v>26000</v>
      </c>
      <c r="E1477" s="28">
        <v>26000</v>
      </c>
      <c r="G1477" s="35">
        <v>26000</v>
      </c>
    </row>
    <row r="1478" spans="1:7" ht="15" hidden="1" customHeight="1" x14ac:dyDescent="0.3">
      <c r="A1478" s="114">
        <v>44581</v>
      </c>
      <c r="E1478" s="28">
        <v>0</v>
      </c>
      <c r="F1478" s="28">
        <v>7990</v>
      </c>
      <c r="G1478" s="35">
        <v>-7990</v>
      </c>
    </row>
    <row r="1479" spans="1:7" ht="15" hidden="1" customHeight="1" x14ac:dyDescent="0.3">
      <c r="A1479" s="114">
        <v>44582</v>
      </c>
      <c r="D1479" s="28">
        <v>66550</v>
      </c>
      <c r="E1479" s="28">
        <v>66550</v>
      </c>
      <c r="F1479" s="28">
        <v>1550</v>
      </c>
      <c r="G1479" s="35">
        <v>65000</v>
      </c>
    </row>
    <row r="1480" spans="1:7" ht="15" hidden="1" customHeight="1" x14ac:dyDescent="0.3">
      <c r="A1480" s="114">
        <v>44583</v>
      </c>
      <c r="D1480" s="28">
        <v>120360</v>
      </c>
      <c r="E1480" s="28">
        <v>120360</v>
      </c>
      <c r="G1480" s="35">
        <v>120360</v>
      </c>
    </row>
    <row r="1481" spans="1:7" ht="15" hidden="1" customHeight="1" x14ac:dyDescent="0.3">
      <c r="A1481" s="114">
        <v>44584</v>
      </c>
      <c r="D1481" s="28">
        <v>0</v>
      </c>
      <c r="E1481" s="28">
        <v>0</v>
      </c>
      <c r="G1481" s="35">
        <v>0</v>
      </c>
    </row>
    <row r="1482" spans="1:7" ht="15" hidden="1" customHeight="1" x14ac:dyDescent="0.3">
      <c r="A1482" s="114">
        <v>44585</v>
      </c>
      <c r="E1482" s="28">
        <v>0</v>
      </c>
      <c r="G1482" s="35">
        <v>0</v>
      </c>
    </row>
    <row r="1483" spans="1:7" ht="15" hidden="1" customHeight="1" x14ac:dyDescent="0.3">
      <c r="A1483" s="114">
        <v>44586</v>
      </c>
      <c r="E1483" s="28">
        <v>0</v>
      </c>
      <c r="F1483" s="28">
        <v>27500</v>
      </c>
      <c r="G1483" s="35">
        <v>-27500</v>
      </c>
    </row>
    <row r="1484" spans="1:7" ht="15" hidden="1" customHeight="1" x14ac:dyDescent="0.3">
      <c r="A1484" s="114">
        <v>44587</v>
      </c>
      <c r="E1484" s="28">
        <v>0</v>
      </c>
      <c r="G1484" s="35">
        <v>0</v>
      </c>
    </row>
    <row r="1485" spans="1:7" ht="15" hidden="1" customHeight="1" x14ac:dyDescent="0.3">
      <c r="A1485" s="114">
        <v>44588</v>
      </c>
      <c r="D1485" s="28">
        <v>174000</v>
      </c>
      <c r="E1485" s="28">
        <v>174000</v>
      </c>
      <c r="G1485" s="35">
        <v>174000</v>
      </c>
    </row>
    <row r="1486" spans="1:7" ht="15" hidden="1" customHeight="1" x14ac:dyDescent="0.3">
      <c r="A1486" s="114">
        <v>44589</v>
      </c>
      <c r="D1486" s="28">
        <v>69000</v>
      </c>
      <c r="E1486" s="28">
        <v>69000</v>
      </c>
      <c r="F1486" s="28">
        <v>98009</v>
      </c>
      <c r="G1486" s="35">
        <v>-29009</v>
      </c>
    </row>
    <row r="1487" spans="1:7" ht="15" hidden="1" customHeight="1" x14ac:dyDescent="0.3">
      <c r="A1487" s="114">
        <v>44590</v>
      </c>
      <c r="E1487" s="28">
        <v>0</v>
      </c>
      <c r="G1487" s="35">
        <v>0</v>
      </c>
    </row>
    <row r="1488" spans="1:7" ht="15" hidden="1" customHeight="1" x14ac:dyDescent="0.3">
      <c r="A1488" s="114">
        <v>44591</v>
      </c>
      <c r="E1488" s="28">
        <v>0</v>
      </c>
      <c r="G1488" s="35">
        <v>0</v>
      </c>
    </row>
    <row r="1489" spans="1:7" ht="15" hidden="1" customHeight="1" x14ac:dyDescent="0.3">
      <c r="A1489" s="114">
        <v>44592</v>
      </c>
      <c r="E1489" s="28">
        <v>0</v>
      </c>
      <c r="G1489" s="35">
        <v>0</v>
      </c>
    </row>
    <row r="1490" spans="1:7" ht="15" hidden="1" customHeight="1" x14ac:dyDescent="0.3">
      <c r="A1490" s="125" t="s">
        <v>19</v>
      </c>
      <c r="B1490" s="28">
        <v>334100</v>
      </c>
      <c r="C1490" s="28">
        <v>0</v>
      </c>
      <c r="D1490" s="28">
        <v>455910</v>
      </c>
      <c r="E1490" s="28">
        <v>790010</v>
      </c>
      <c r="F1490" s="28">
        <v>135049</v>
      </c>
      <c r="G1490" s="35">
        <v>654961</v>
      </c>
    </row>
    <row r="1491" spans="1:7" ht="9.9" hidden="1" customHeight="1" x14ac:dyDescent="0.3"/>
    <row r="1492" spans="1:7" ht="9.9" hidden="1" customHeight="1" x14ac:dyDescent="0.3"/>
    <row r="1493" spans="1:7" ht="15" hidden="1" thickBot="1" x14ac:dyDescent="0.35"/>
    <row r="1494" spans="1:7" ht="15" hidden="1" thickBot="1" x14ac:dyDescent="0.35">
      <c r="A1494" s="113" t="s">
        <v>4</v>
      </c>
      <c r="B1494" s="103" t="s">
        <v>6</v>
      </c>
      <c r="C1494" s="103" t="s">
        <v>7</v>
      </c>
      <c r="D1494" s="103" t="s">
        <v>109</v>
      </c>
      <c r="E1494" s="103" t="s">
        <v>8</v>
      </c>
      <c r="F1494" s="103" t="s">
        <v>9</v>
      </c>
      <c r="G1494" s="103" t="s">
        <v>0</v>
      </c>
    </row>
    <row r="1495" spans="1:7" hidden="1" x14ac:dyDescent="0.3">
      <c r="A1495" s="114">
        <v>44531</v>
      </c>
      <c r="E1495" s="28">
        <v>0</v>
      </c>
      <c r="G1495" s="28">
        <v>0</v>
      </c>
    </row>
    <row r="1496" spans="1:7" hidden="1" x14ac:dyDescent="0.3">
      <c r="A1496" s="114">
        <v>44532</v>
      </c>
      <c r="E1496" s="28">
        <v>0</v>
      </c>
      <c r="G1496" s="28">
        <v>0</v>
      </c>
    </row>
    <row r="1497" spans="1:7" hidden="1" x14ac:dyDescent="0.3">
      <c r="A1497" s="114">
        <v>44533</v>
      </c>
      <c r="B1497" s="28">
        <v>19500</v>
      </c>
      <c r="E1497" s="28">
        <v>19500</v>
      </c>
      <c r="G1497" s="28">
        <v>19500</v>
      </c>
    </row>
    <row r="1498" spans="1:7" hidden="1" x14ac:dyDescent="0.3">
      <c r="A1498" s="114">
        <v>44534</v>
      </c>
      <c r="E1498" s="28">
        <v>0</v>
      </c>
      <c r="G1498" s="28">
        <v>0</v>
      </c>
    </row>
    <row r="1499" spans="1:7" hidden="1" x14ac:dyDescent="0.3">
      <c r="A1499" s="114">
        <v>44535</v>
      </c>
      <c r="E1499" s="28">
        <v>0</v>
      </c>
      <c r="G1499" s="28">
        <v>0</v>
      </c>
    </row>
    <row r="1500" spans="1:7" hidden="1" x14ac:dyDescent="0.3">
      <c r="A1500" s="114">
        <v>44536</v>
      </c>
      <c r="E1500" s="28">
        <v>0</v>
      </c>
      <c r="G1500" s="28">
        <v>0</v>
      </c>
    </row>
    <row r="1501" spans="1:7" hidden="1" x14ac:dyDescent="0.3">
      <c r="A1501" s="114">
        <v>44537</v>
      </c>
      <c r="E1501" s="28">
        <v>0</v>
      </c>
      <c r="G1501" s="28">
        <v>0</v>
      </c>
    </row>
    <row r="1502" spans="1:7" hidden="1" x14ac:dyDescent="0.3">
      <c r="A1502" s="114">
        <v>44538</v>
      </c>
      <c r="E1502" s="28">
        <v>0</v>
      </c>
      <c r="G1502" s="28">
        <v>0</v>
      </c>
    </row>
    <row r="1503" spans="1:7" hidden="1" x14ac:dyDescent="0.3">
      <c r="A1503" s="114">
        <v>44539</v>
      </c>
      <c r="B1503" s="28">
        <v>9876543</v>
      </c>
      <c r="E1503" s="28">
        <v>0</v>
      </c>
      <c r="G1503" s="28">
        <v>0</v>
      </c>
    </row>
    <row r="1504" spans="1:7" hidden="1" x14ac:dyDescent="0.3">
      <c r="A1504" s="114">
        <v>44540</v>
      </c>
      <c r="E1504" s="28">
        <v>0</v>
      </c>
      <c r="G1504" s="28">
        <v>0</v>
      </c>
    </row>
    <row r="1505" spans="1:7" hidden="1" x14ac:dyDescent="0.3">
      <c r="A1505" s="114">
        <v>44541</v>
      </c>
      <c r="E1505" s="28">
        <v>0</v>
      </c>
      <c r="G1505" s="28">
        <v>0</v>
      </c>
    </row>
    <row r="1506" spans="1:7" hidden="1" x14ac:dyDescent="0.3">
      <c r="A1506" s="114">
        <v>44542</v>
      </c>
      <c r="E1506" s="28">
        <v>0</v>
      </c>
      <c r="G1506" s="28">
        <v>0</v>
      </c>
    </row>
    <row r="1507" spans="1:7" hidden="1" x14ac:dyDescent="0.3">
      <c r="A1507" s="114">
        <v>44543</v>
      </c>
      <c r="E1507" s="28">
        <v>0</v>
      </c>
      <c r="G1507" s="28">
        <v>0</v>
      </c>
    </row>
    <row r="1508" spans="1:7" hidden="1" x14ac:dyDescent="0.3">
      <c r="A1508" s="114">
        <v>44544</v>
      </c>
      <c r="E1508" s="28">
        <v>0</v>
      </c>
      <c r="G1508" s="28">
        <v>0</v>
      </c>
    </row>
    <row r="1509" spans="1:7" hidden="1" x14ac:dyDescent="0.3">
      <c r="A1509" s="114">
        <v>44545</v>
      </c>
      <c r="B1509" s="28">
        <v>7500</v>
      </c>
      <c r="E1509" s="28">
        <v>7500</v>
      </c>
      <c r="G1509" s="28">
        <v>7500</v>
      </c>
    </row>
    <row r="1510" spans="1:7" hidden="1" x14ac:dyDescent="0.3">
      <c r="A1510" s="114">
        <v>44546</v>
      </c>
      <c r="B1510" s="28">
        <v>82500</v>
      </c>
      <c r="E1510" s="28">
        <v>82500</v>
      </c>
      <c r="G1510" s="28">
        <v>82500</v>
      </c>
    </row>
    <row r="1511" spans="1:7" hidden="1" x14ac:dyDescent="0.3">
      <c r="A1511" s="114">
        <v>44547</v>
      </c>
      <c r="E1511" s="28">
        <v>0</v>
      </c>
      <c r="G1511" s="28">
        <v>0</v>
      </c>
    </row>
    <row r="1512" spans="1:7" hidden="1" x14ac:dyDescent="0.3">
      <c r="A1512" s="114">
        <v>44548</v>
      </c>
      <c r="B1512" s="28">
        <v>40000</v>
      </c>
      <c r="E1512" s="28">
        <v>40000</v>
      </c>
      <c r="G1512" s="28">
        <v>40000</v>
      </c>
    </row>
    <row r="1513" spans="1:7" hidden="1" x14ac:dyDescent="0.3">
      <c r="A1513" s="114">
        <v>44549</v>
      </c>
      <c r="E1513" s="28">
        <v>0</v>
      </c>
      <c r="G1513" s="28">
        <v>0</v>
      </c>
    </row>
    <row r="1514" spans="1:7" hidden="1" x14ac:dyDescent="0.3">
      <c r="A1514" s="114">
        <v>44550</v>
      </c>
      <c r="E1514" s="28">
        <v>0</v>
      </c>
      <c r="G1514" s="28">
        <v>0</v>
      </c>
    </row>
    <row r="1515" spans="1:7" hidden="1" x14ac:dyDescent="0.3">
      <c r="A1515" s="114">
        <v>44551</v>
      </c>
      <c r="E1515" s="28">
        <v>0</v>
      </c>
      <c r="G1515" s="28">
        <v>0</v>
      </c>
    </row>
    <row r="1516" spans="1:7" hidden="1" x14ac:dyDescent="0.3">
      <c r="A1516" s="114">
        <v>44552</v>
      </c>
      <c r="E1516" s="28">
        <v>0</v>
      </c>
      <c r="G1516" s="28">
        <v>0</v>
      </c>
    </row>
    <row r="1517" spans="1:7" hidden="1" x14ac:dyDescent="0.3">
      <c r="A1517" s="114">
        <v>44553</v>
      </c>
      <c r="B1517" s="28">
        <v>499900</v>
      </c>
      <c r="E1517" s="28">
        <v>499900</v>
      </c>
      <c r="G1517" s="28">
        <v>499900</v>
      </c>
    </row>
    <row r="1518" spans="1:7" hidden="1" x14ac:dyDescent="0.3">
      <c r="A1518" s="114">
        <v>44554</v>
      </c>
      <c r="E1518" s="28">
        <v>0</v>
      </c>
      <c r="G1518" s="28">
        <v>0</v>
      </c>
    </row>
    <row r="1519" spans="1:7" hidden="1" x14ac:dyDescent="0.3">
      <c r="A1519" s="114">
        <v>44555</v>
      </c>
      <c r="E1519" s="28">
        <v>0</v>
      </c>
      <c r="G1519" s="28">
        <v>0</v>
      </c>
    </row>
    <row r="1520" spans="1:7" hidden="1" x14ac:dyDescent="0.3">
      <c r="A1520" s="114">
        <v>44556</v>
      </c>
      <c r="E1520" s="28">
        <v>0</v>
      </c>
      <c r="G1520" s="28">
        <v>0</v>
      </c>
    </row>
    <row r="1521" spans="1:7" hidden="1" x14ac:dyDescent="0.3">
      <c r="A1521" s="114">
        <v>44557</v>
      </c>
      <c r="E1521" s="28">
        <v>0</v>
      </c>
      <c r="G1521" s="28">
        <v>0</v>
      </c>
    </row>
    <row r="1522" spans="1:7" hidden="1" x14ac:dyDescent="0.3">
      <c r="A1522" s="114">
        <v>44558</v>
      </c>
      <c r="E1522" s="28">
        <v>0</v>
      </c>
      <c r="G1522" s="28">
        <v>0</v>
      </c>
    </row>
    <row r="1523" spans="1:7" hidden="1" x14ac:dyDescent="0.3">
      <c r="A1523" s="114">
        <v>44559</v>
      </c>
      <c r="E1523" s="28">
        <v>0</v>
      </c>
      <c r="G1523" s="28">
        <v>0</v>
      </c>
    </row>
    <row r="1524" spans="1:7" hidden="1" x14ac:dyDescent="0.3">
      <c r="A1524" s="114">
        <v>44560</v>
      </c>
      <c r="B1524" s="28">
        <v>156700</v>
      </c>
      <c r="E1524" s="28">
        <v>156700</v>
      </c>
      <c r="G1524" s="28">
        <v>156700</v>
      </c>
    </row>
    <row r="1525" spans="1:7" hidden="1" x14ac:dyDescent="0.3">
      <c r="A1525" s="114">
        <v>44561</v>
      </c>
      <c r="B1525" s="28">
        <v>395100</v>
      </c>
      <c r="E1525" s="28">
        <v>395100</v>
      </c>
      <c r="G1525" s="28">
        <v>395100</v>
      </c>
    </row>
    <row r="1526" spans="1:7" hidden="1" x14ac:dyDescent="0.3">
      <c r="A1526" s="114" t="s">
        <v>16</v>
      </c>
      <c r="B1526" s="28">
        <v>1201200</v>
      </c>
      <c r="C1526" s="28">
        <v>0</v>
      </c>
      <c r="E1526" s="28">
        <f>1201200+294000</f>
        <v>1495200</v>
      </c>
      <c r="F1526" s="28">
        <v>0</v>
      </c>
      <c r="G1526" s="28">
        <v>1201200</v>
      </c>
    </row>
    <row r="1527" spans="1:7" ht="15" hidden="1" thickBot="1" x14ac:dyDescent="0.35">
      <c r="G1527" s="28"/>
    </row>
    <row r="1528" spans="1:7" ht="15" hidden="1" thickBot="1" x14ac:dyDescent="0.35">
      <c r="A1528" s="113" t="s">
        <v>4</v>
      </c>
      <c r="B1528" s="103" t="s">
        <v>6</v>
      </c>
      <c r="C1528" s="103" t="s">
        <v>7</v>
      </c>
      <c r="D1528" s="103" t="s">
        <v>109</v>
      </c>
      <c r="E1528" s="103" t="s">
        <v>8</v>
      </c>
      <c r="F1528" s="103" t="s">
        <v>9</v>
      </c>
      <c r="G1528" s="103" t="s">
        <v>0</v>
      </c>
    </row>
    <row r="1529" spans="1:7" hidden="1" x14ac:dyDescent="0.3">
      <c r="A1529" s="114">
        <v>44470</v>
      </c>
      <c r="E1529" s="28">
        <v>0</v>
      </c>
      <c r="G1529" s="28">
        <v>0</v>
      </c>
    </row>
    <row r="1530" spans="1:7" hidden="1" x14ac:dyDescent="0.3">
      <c r="A1530" s="114">
        <v>44471</v>
      </c>
      <c r="E1530" s="28">
        <v>0</v>
      </c>
      <c r="G1530" s="28">
        <v>0</v>
      </c>
    </row>
    <row r="1531" spans="1:7" hidden="1" x14ac:dyDescent="0.3">
      <c r="A1531" s="114">
        <v>44472</v>
      </c>
      <c r="E1531" s="28">
        <v>0</v>
      </c>
      <c r="G1531" s="28">
        <v>0</v>
      </c>
    </row>
    <row r="1532" spans="1:7" hidden="1" x14ac:dyDescent="0.3">
      <c r="A1532" s="114">
        <v>44473</v>
      </c>
      <c r="E1532" s="28">
        <v>0</v>
      </c>
      <c r="G1532" s="28">
        <v>0</v>
      </c>
    </row>
    <row r="1533" spans="1:7" hidden="1" x14ac:dyDescent="0.3">
      <c r="A1533" s="114">
        <v>44474</v>
      </c>
      <c r="E1533" s="28">
        <v>0</v>
      </c>
      <c r="G1533" s="28">
        <v>0</v>
      </c>
    </row>
    <row r="1534" spans="1:7" hidden="1" x14ac:dyDescent="0.3">
      <c r="A1534" s="114">
        <v>44475</v>
      </c>
      <c r="B1534" s="28">
        <v>26000</v>
      </c>
      <c r="E1534" s="28">
        <v>26000</v>
      </c>
      <c r="G1534" s="28">
        <v>26000</v>
      </c>
    </row>
    <row r="1535" spans="1:7" hidden="1" x14ac:dyDescent="0.3">
      <c r="A1535" s="114">
        <v>44476</v>
      </c>
      <c r="E1535" s="28">
        <v>0</v>
      </c>
      <c r="G1535" s="28">
        <v>0</v>
      </c>
    </row>
    <row r="1536" spans="1:7" hidden="1" x14ac:dyDescent="0.3">
      <c r="A1536" s="114">
        <v>44477</v>
      </c>
      <c r="E1536" s="28">
        <v>0</v>
      </c>
      <c r="G1536" s="28">
        <v>0</v>
      </c>
    </row>
    <row r="1537" spans="1:7" hidden="1" x14ac:dyDescent="0.3">
      <c r="A1537" s="114">
        <v>44478</v>
      </c>
      <c r="E1537" s="28">
        <v>0</v>
      </c>
      <c r="G1537" s="28">
        <v>0</v>
      </c>
    </row>
    <row r="1538" spans="1:7" hidden="1" x14ac:dyDescent="0.3">
      <c r="A1538" s="114">
        <v>44479</v>
      </c>
      <c r="E1538" s="28">
        <v>0</v>
      </c>
      <c r="G1538" s="28">
        <v>0</v>
      </c>
    </row>
    <row r="1539" spans="1:7" hidden="1" x14ac:dyDescent="0.3">
      <c r="A1539" s="114">
        <v>44480</v>
      </c>
      <c r="E1539" s="28">
        <v>0</v>
      </c>
      <c r="G1539" s="28">
        <v>0</v>
      </c>
    </row>
    <row r="1540" spans="1:7" hidden="1" x14ac:dyDescent="0.3">
      <c r="A1540" s="114">
        <v>44481</v>
      </c>
      <c r="E1540" s="28">
        <v>0</v>
      </c>
      <c r="G1540" s="28">
        <v>0</v>
      </c>
    </row>
    <row r="1541" spans="1:7" hidden="1" x14ac:dyDescent="0.3">
      <c r="A1541" s="114">
        <v>44482</v>
      </c>
      <c r="E1541" s="28">
        <v>0</v>
      </c>
      <c r="G1541" s="28">
        <v>0</v>
      </c>
    </row>
    <row r="1542" spans="1:7" hidden="1" x14ac:dyDescent="0.3">
      <c r="A1542" s="114">
        <v>44483</v>
      </c>
      <c r="E1542" s="28">
        <v>0</v>
      </c>
      <c r="G1542" s="28">
        <v>0</v>
      </c>
    </row>
    <row r="1543" spans="1:7" hidden="1" x14ac:dyDescent="0.3">
      <c r="A1543" s="114">
        <v>44484</v>
      </c>
      <c r="B1543" s="28">
        <v>76500</v>
      </c>
      <c r="E1543" s="28">
        <v>76500</v>
      </c>
      <c r="G1543" s="28">
        <v>76500</v>
      </c>
    </row>
    <row r="1544" spans="1:7" hidden="1" x14ac:dyDescent="0.3">
      <c r="A1544" s="114">
        <v>44485</v>
      </c>
      <c r="B1544" s="28">
        <v>16000</v>
      </c>
      <c r="E1544" s="28">
        <v>16000</v>
      </c>
      <c r="G1544" s="28">
        <v>16000</v>
      </c>
    </row>
    <row r="1545" spans="1:7" hidden="1" x14ac:dyDescent="0.3">
      <c r="A1545" s="114">
        <v>44486</v>
      </c>
      <c r="E1545" s="28">
        <v>0</v>
      </c>
      <c r="G1545" s="28">
        <v>0</v>
      </c>
    </row>
    <row r="1546" spans="1:7" hidden="1" x14ac:dyDescent="0.3">
      <c r="A1546" s="114">
        <v>44487</v>
      </c>
      <c r="E1546" s="28">
        <v>0</v>
      </c>
      <c r="G1546" s="28">
        <v>0</v>
      </c>
    </row>
    <row r="1547" spans="1:7" hidden="1" x14ac:dyDescent="0.3">
      <c r="A1547" s="114">
        <v>44488</v>
      </c>
      <c r="B1547" s="28">
        <v>50000</v>
      </c>
      <c r="E1547" s="28">
        <v>50000</v>
      </c>
      <c r="G1547" s="28">
        <v>50000</v>
      </c>
    </row>
    <row r="1548" spans="1:7" hidden="1" x14ac:dyDescent="0.3">
      <c r="A1548" s="114">
        <v>44489</v>
      </c>
      <c r="B1548" s="28">
        <v>65400</v>
      </c>
      <c r="E1548" s="28">
        <v>65400</v>
      </c>
      <c r="G1548" s="28">
        <v>65400</v>
      </c>
    </row>
    <row r="1549" spans="1:7" hidden="1" x14ac:dyDescent="0.3">
      <c r="A1549" s="114">
        <v>44490</v>
      </c>
      <c r="E1549" s="28">
        <v>0</v>
      </c>
      <c r="G1549" s="28">
        <v>0</v>
      </c>
    </row>
    <row r="1550" spans="1:7" hidden="1" x14ac:dyDescent="0.3">
      <c r="A1550" s="114">
        <v>44491</v>
      </c>
      <c r="B1550" s="28">
        <v>12000</v>
      </c>
      <c r="E1550" s="28">
        <v>12000</v>
      </c>
      <c r="G1550" s="28">
        <v>12000</v>
      </c>
    </row>
    <row r="1551" spans="1:7" hidden="1" x14ac:dyDescent="0.3">
      <c r="A1551" s="114">
        <v>44492</v>
      </c>
      <c r="E1551" s="28">
        <v>0</v>
      </c>
      <c r="G1551" s="28">
        <v>0</v>
      </c>
    </row>
    <row r="1552" spans="1:7" hidden="1" x14ac:dyDescent="0.3">
      <c r="A1552" s="114">
        <v>44493</v>
      </c>
      <c r="B1552" s="28">
        <v>26600</v>
      </c>
      <c r="E1552" s="28">
        <v>26600</v>
      </c>
      <c r="G1552" s="28">
        <v>26600</v>
      </c>
    </row>
    <row r="1553" spans="1:7" hidden="1" x14ac:dyDescent="0.3">
      <c r="A1553" s="114">
        <v>44494</v>
      </c>
      <c r="E1553" s="28">
        <v>0</v>
      </c>
      <c r="G1553" s="28">
        <v>0</v>
      </c>
    </row>
    <row r="1554" spans="1:7" hidden="1" x14ac:dyDescent="0.3">
      <c r="A1554" s="114">
        <v>44495</v>
      </c>
      <c r="E1554" s="28">
        <v>0</v>
      </c>
      <c r="G1554" s="28">
        <v>0</v>
      </c>
    </row>
    <row r="1555" spans="1:7" hidden="1" x14ac:dyDescent="0.3">
      <c r="A1555" s="114">
        <v>44496</v>
      </c>
      <c r="B1555" s="28">
        <v>17000</v>
      </c>
      <c r="E1555" s="28">
        <v>17000</v>
      </c>
      <c r="G1555" s="28">
        <v>17000</v>
      </c>
    </row>
    <row r="1556" spans="1:7" hidden="1" x14ac:dyDescent="0.3">
      <c r="A1556" s="114">
        <v>44497</v>
      </c>
      <c r="B1556" s="28">
        <v>125600</v>
      </c>
      <c r="E1556" s="28">
        <v>125600</v>
      </c>
      <c r="G1556" s="28">
        <v>125600</v>
      </c>
    </row>
    <row r="1557" spans="1:7" hidden="1" x14ac:dyDescent="0.3">
      <c r="A1557" s="114">
        <v>44498</v>
      </c>
      <c r="B1557" s="28">
        <v>19500</v>
      </c>
      <c r="E1557" s="28">
        <v>19500</v>
      </c>
      <c r="G1557" s="28">
        <v>19500</v>
      </c>
    </row>
    <row r="1558" spans="1:7" hidden="1" x14ac:dyDescent="0.3">
      <c r="A1558" s="114">
        <v>44499</v>
      </c>
      <c r="B1558" s="28">
        <v>203000</v>
      </c>
      <c r="E1558" s="28">
        <v>203000</v>
      </c>
      <c r="G1558" s="28">
        <v>203000</v>
      </c>
    </row>
    <row r="1559" spans="1:7" hidden="1" x14ac:dyDescent="0.3">
      <c r="A1559" s="114">
        <v>44500</v>
      </c>
      <c r="E1559" s="28">
        <v>0</v>
      </c>
      <c r="G1559" s="28">
        <v>0</v>
      </c>
    </row>
    <row r="1560" spans="1:7" hidden="1" x14ac:dyDescent="0.3">
      <c r="A1560" s="114" t="s">
        <v>17</v>
      </c>
      <c r="B1560" s="28">
        <v>637600</v>
      </c>
      <c r="C1560" s="28">
        <v>0</v>
      </c>
      <c r="E1560" s="28">
        <v>637600</v>
      </c>
      <c r="F1560" s="28">
        <v>0</v>
      </c>
      <c r="G1560" s="28">
        <v>637600</v>
      </c>
    </row>
    <row r="1561" spans="1:7" ht="15" hidden="1" thickBot="1" x14ac:dyDescent="0.35">
      <c r="G1561" s="28"/>
    </row>
    <row r="1562" spans="1:7" ht="15" hidden="1" thickBot="1" x14ac:dyDescent="0.35">
      <c r="A1562" s="113" t="s">
        <v>4</v>
      </c>
      <c r="B1562" s="103" t="s">
        <v>6</v>
      </c>
      <c r="C1562" s="103" t="s">
        <v>7</v>
      </c>
      <c r="D1562" s="103" t="s">
        <v>109</v>
      </c>
      <c r="E1562" s="103" t="s">
        <v>8</v>
      </c>
      <c r="F1562" s="103" t="s">
        <v>9</v>
      </c>
      <c r="G1562" s="103" t="s">
        <v>0</v>
      </c>
    </row>
    <row r="1563" spans="1:7" hidden="1" x14ac:dyDescent="0.3">
      <c r="A1563" s="114">
        <v>44440</v>
      </c>
      <c r="E1563" s="28">
        <v>0</v>
      </c>
      <c r="G1563" s="28">
        <v>0</v>
      </c>
    </row>
    <row r="1564" spans="1:7" hidden="1" x14ac:dyDescent="0.3">
      <c r="A1564" s="114">
        <v>44441</v>
      </c>
      <c r="E1564" s="28">
        <v>0</v>
      </c>
      <c r="G1564" s="28">
        <v>0</v>
      </c>
    </row>
    <row r="1565" spans="1:7" hidden="1" x14ac:dyDescent="0.3">
      <c r="A1565" s="114">
        <v>44442</v>
      </c>
      <c r="E1565" s="28">
        <v>0</v>
      </c>
      <c r="G1565" s="28">
        <v>0</v>
      </c>
    </row>
    <row r="1566" spans="1:7" hidden="1" x14ac:dyDescent="0.3">
      <c r="A1566" s="114">
        <v>44443</v>
      </c>
      <c r="E1566" s="28">
        <v>0</v>
      </c>
      <c r="G1566" s="28">
        <v>0</v>
      </c>
    </row>
    <row r="1567" spans="1:7" hidden="1" x14ac:dyDescent="0.3">
      <c r="A1567" s="114">
        <v>44444</v>
      </c>
      <c r="E1567" s="28">
        <v>0</v>
      </c>
      <c r="G1567" s="28">
        <v>0</v>
      </c>
    </row>
    <row r="1568" spans="1:7" hidden="1" x14ac:dyDescent="0.3">
      <c r="A1568" s="114">
        <v>44445</v>
      </c>
      <c r="E1568" s="28">
        <v>0</v>
      </c>
      <c r="G1568" s="28">
        <v>0</v>
      </c>
    </row>
    <row r="1569" spans="1:7" hidden="1" x14ac:dyDescent="0.3">
      <c r="A1569" s="114">
        <v>44446</v>
      </c>
      <c r="E1569" s="28">
        <v>0</v>
      </c>
      <c r="G1569" s="28">
        <v>0</v>
      </c>
    </row>
    <row r="1570" spans="1:7" hidden="1" x14ac:dyDescent="0.3">
      <c r="A1570" s="114">
        <v>44447</v>
      </c>
      <c r="E1570" s="28">
        <v>0</v>
      </c>
      <c r="G1570" s="28">
        <v>0</v>
      </c>
    </row>
    <row r="1571" spans="1:7" hidden="1" x14ac:dyDescent="0.3">
      <c r="A1571" s="114">
        <v>44448</v>
      </c>
      <c r="E1571" s="28">
        <v>0</v>
      </c>
      <c r="G1571" s="28">
        <v>0</v>
      </c>
    </row>
    <row r="1572" spans="1:7" hidden="1" x14ac:dyDescent="0.3">
      <c r="A1572" s="114">
        <v>44449</v>
      </c>
      <c r="E1572" s="28">
        <v>0</v>
      </c>
      <c r="G1572" s="28">
        <v>0</v>
      </c>
    </row>
    <row r="1573" spans="1:7" hidden="1" x14ac:dyDescent="0.3">
      <c r="A1573" s="114">
        <v>44450</v>
      </c>
      <c r="B1573" s="28">
        <v>16000</v>
      </c>
      <c r="E1573" s="28">
        <v>16000</v>
      </c>
      <c r="G1573" s="28">
        <v>16000</v>
      </c>
    </row>
    <row r="1574" spans="1:7" hidden="1" x14ac:dyDescent="0.3">
      <c r="A1574" s="114">
        <v>44451</v>
      </c>
      <c r="B1574" s="28">
        <v>5000</v>
      </c>
      <c r="E1574" s="28">
        <v>5000</v>
      </c>
      <c r="G1574" s="28">
        <v>5000</v>
      </c>
    </row>
    <row r="1575" spans="1:7" hidden="1" x14ac:dyDescent="0.3">
      <c r="A1575" s="114">
        <v>44452</v>
      </c>
      <c r="E1575" s="28">
        <v>0</v>
      </c>
      <c r="G1575" s="28">
        <v>0</v>
      </c>
    </row>
    <row r="1576" spans="1:7" hidden="1" x14ac:dyDescent="0.3">
      <c r="A1576" s="114">
        <v>44453</v>
      </c>
      <c r="B1576" s="28">
        <v>12600</v>
      </c>
      <c r="E1576" s="28">
        <v>12600</v>
      </c>
      <c r="G1576" s="28">
        <v>12600</v>
      </c>
    </row>
    <row r="1577" spans="1:7" hidden="1" x14ac:dyDescent="0.3">
      <c r="A1577" s="114">
        <v>44454</v>
      </c>
      <c r="B1577" s="28">
        <v>156600</v>
      </c>
      <c r="E1577" s="28">
        <v>156600</v>
      </c>
      <c r="G1577" s="28">
        <v>156600</v>
      </c>
    </row>
    <row r="1578" spans="1:7" hidden="1" x14ac:dyDescent="0.3">
      <c r="A1578" s="114">
        <v>44455</v>
      </c>
      <c r="B1578" s="28">
        <v>398500</v>
      </c>
      <c r="E1578" s="28">
        <v>398500</v>
      </c>
      <c r="G1578" s="28">
        <v>398500</v>
      </c>
    </row>
    <row r="1579" spans="1:7" hidden="1" x14ac:dyDescent="0.3">
      <c r="A1579" s="114">
        <v>44456</v>
      </c>
      <c r="B1579" s="28">
        <v>45000</v>
      </c>
      <c r="E1579" s="28">
        <v>45000</v>
      </c>
      <c r="G1579" s="28">
        <v>45000</v>
      </c>
    </row>
    <row r="1580" spans="1:7" hidden="1" x14ac:dyDescent="0.3">
      <c r="A1580" s="114">
        <v>44457</v>
      </c>
      <c r="B1580" s="28">
        <v>40000</v>
      </c>
      <c r="E1580" s="28">
        <v>40000</v>
      </c>
      <c r="G1580" s="28">
        <v>40000</v>
      </c>
    </row>
    <row r="1581" spans="1:7" hidden="1" x14ac:dyDescent="0.3">
      <c r="A1581" s="114">
        <v>44458</v>
      </c>
      <c r="E1581" s="28">
        <v>0</v>
      </c>
      <c r="G1581" s="28">
        <v>0</v>
      </c>
    </row>
    <row r="1582" spans="1:7" hidden="1" x14ac:dyDescent="0.3">
      <c r="A1582" s="114">
        <v>44459</v>
      </c>
      <c r="E1582" s="28">
        <v>0</v>
      </c>
      <c r="G1582" s="28">
        <v>0</v>
      </c>
    </row>
    <row r="1583" spans="1:7" hidden="1" x14ac:dyDescent="0.3">
      <c r="A1583" s="114">
        <v>44460</v>
      </c>
      <c r="E1583" s="28">
        <v>0</v>
      </c>
      <c r="G1583" s="28">
        <v>0</v>
      </c>
    </row>
    <row r="1584" spans="1:7" hidden="1" x14ac:dyDescent="0.3">
      <c r="A1584" s="114">
        <v>44461</v>
      </c>
      <c r="E1584" s="28">
        <v>0</v>
      </c>
      <c r="G1584" s="28">
        <v>0</v>
      </c>
    </row>
    <row r="1585" spans="1:7" hidden="1" x14ac:dyDescent="0.3">
      <c r="A1585" s="114">
        <v>44462</v>
      </c>
      <c r="E1585" s="28">
        <v>0</v>
      </c>
      <c r="G1585" s="28">
        <v>0</v>
      </c>
    </row>
    <row r="1586" spans="1:7" hidden="1" x14ac:dyDescent="0.3">
      <c r="A1586" s="114">
        <v>44463</v>
      </c>
      <c r="E1586" s="28">
        <v>0</v>
      </c>
      <c r="G1586" s="28">
        <v>0</v>
      </c>
    </row>
    <row r="1587" spans="1:7" hidden="1" x14ac:dyDescent="0.3">
      <c r="A1587" s="114">
        <v>44464</v>
      </c>
      <c r="E1587" s="28">
        <v>0</v>
      </c>
      <c r="G1587" s="28">
        <v>0</v>
      </c>
    </row>
    <row r="1588" spans="1:7" hidden="1" x14ac:dyDescent="0.3">
      <c r="A1588" s="114">
        <v>44465</v>
      </c>
      <c r="E1588" s="28">
        <v>0</v>
      </c>
      <c r="G1588" s="28">
        <v>0</v>
      </c>
    </row>
    <row r="1589" spans="1:7" hidden="1" x14ac:dyDescent="0.3">
      <c r="A1589" s="114">
        <v>44466</v>
      </c>
      <c r="E1589" s="28">
        <v>0</v>
      </c>
      <c r="G1589" s="28">
        <v>0</v>
      </c>
    </row>
    <row r="1590" spans="1:7" hidden="1" x14ac:dyDescent="0.3">
      <c r="A1590" s="114">
        <v>44467</v>
      </c>
      <c r="E1590" s="28">
        <v>0</v>
      </c>
      <c r="G1590" s="28">
        <v>0</v>
      </c>
    </row>
    <row r="1591" spans="1:7" hidden="1" x14ac:dyDescent="0.3">
      <c r="A1591" s="114">
        <v>44468</v>
      </c>
      <c r="B1591" s="32"/>
      <c r="C1591" s="32"/>
      <c r="E1591" s="32">
        <v>0</v>
      </c>
      <c r="F1591" s="33"/>
      <c r="G1591" s="32">
        <v>0</v>
      </c>
    </row>
    <row r="1592" spans="1:7" hidden="1" x14ac:dyDescent="0.3">
      <c r="A1592" s="114">
        <v>44469</v>
      </c>
      <c r="E1592" s="28">
        <v>0</v>
      </c>
      <c r="G1592" s="28">
        <v>0</v>
      </c>
    </row>
    <row r="1593" spans="1:7" hidden="1" x14ac:dyDescent="0.3">
      <c r="A1593" s="114">
        <v>44470</v>
      </c>
      <c r="E1593" s="28">
        <v>0</v>
      </c>
      <c r="G1593" s="28">
        <v>0</v>
      </c>
    </row>
    <row r="1594" spans="1:7" hidden="1" x14ac:dyDescent="0.3">
      <c r="A1594" s="114" t="s">
        <v>15</v>
      </c>
      <c r="B1594" s="28">
        <v>673700</v>
      </c>
      <c r="C1594" s="28">
        <v>0</v>
      </c>
      <c r="E1594" s="28">
        <v>673700</v>
      </c>
      <c r="F1594" s="28">
        <v>0</v>
      </c>
      <c r="G1594" s="28">
        <v>673700</v>
      </c>
    </row>
    <row r="1595" spans="1:7" ht="15" hidden="1" thickBot="1" x14ac:dyDescent="0.35">
      <c r="G1595" s="28"/>
    </row>
    <row r="1596" spans="1:7" ht="15" hidden="1" thickBot="1" x14ac:dyDescent="0.35">
      <c r="A1596" s="113" t="s">
        <v>4</v>
      </c>
      <c r="B1596" s="103" t="s">
        <v>6</v>
      </c>
      <c r="C1596" s="103" t="s">
        <v>7</v>
      </c>
      <c r="D1596" s="103" t="s">
        <v>109</v>
      </c>
      <c r="E1596" s="103" t="s">
        <v>8</v>
      </c>
      <c r="F1596" s="103" t="s">
        <v>9</v>
      </c>
      <c r="G1596" s="103" t="s">
        <v>0</v>
      </c>
    </row>
    <row r="1597" spans="1:7" hidden="1" x14ac:dyDescent="0.3">
      <c r="A1597" s="114">
        <v>44409</v>
      </c>
      <c r="B1597" s="28">
        <v>195300</v>
      </c>
      <c r="E1597" s="28">
        <v>195300</v>
      </c>
      <c r="G1597" s="28">
        <v>195300</v>
      </c>
    </row>
    <row r="1598" spans="1:7" hidden="1" x14ac:dyDescent="0.3">
      <c r="A1598" s="114">
        <v>44410</v>
      </c>
      <c r="E1598" s="28">
        <v>0</v>
      </c>
      <c r="G1598" s="28">
        <v>0</v>
      </c>
    </row>
    <row r="1599" spans="1:7" hidden="1" x14ac:dyDescent="0.3">
      <c r="A1599" s="114">
        <v>44411</v>
      </c>
      <c r="E1599" s="28">
        <v>0</v>
      </c>
      <c r="G1599" s="28">
        <v>0</v>
      </c>
    </row>
    <row r="1600" spans="1:7" hidden="1" x14ac:dyDescent="0.3">
      <c r="A1600" s="114">
        <v>44412</v>
      </c>
      <c r="E1600" s="28">
        <v>0</v>
      </c>
      <c r="G1600" s="28">
        <v>0</v>
      </c>
    </row>
    <row r="1601" spans="1:7" hidden="1" x14ac:dyDescent="0.3">
      <c r="A1601" s="114">
        <v>44413</v>
      </c>
      <c r="E1601" s="28">
        <v>0</v>
      </c>
      <c r="G1601" s="28">
        <v>0</v>
      </c>
    </row>
    <row r="1602" spans="1:7" hidden="1" x14ac:dyDescent="0.3">
      <c r="A1602" s="114">
        <v>44414</v>
      </c>
      <c r="E1602" s="28">
        <v>0</v>
      </c>
      <c r="G1602" s="28">
        <v>0</v>
      </c>
    </row>
    <row r="1603" spans="1:7" hidden="1" x14ac:dyDescent="0.3">
      <c r="A1603" s="114">
        <v>44415</v>
      </c>
      <c r="E1603" s="28">
        <v>0</v>
      </c>
      <c r="G1603" s="28">
        <v>0</v>
      </c>
    </row>
    <row r="1604" spans="1:7" hidden="1" x14ac:dyDescent="0.3">
      <c r="A1604" s="114">
        <v>44416</v>
      </c>
      <c r="E1604" s="28">
        <v>0</v>
      </c>
      <c r="G1604" s="28">
        <v>0</v>
      </c>
    </row>
    <row r="1605" spans="1:7" hidden="1" x14ac:dyDescent="0.3">
      <c r="A1605" s="114">
        <v>44417</v>
      </c>
      <c r="E1605" s="28">
        <v>0</v>
      </c>
      <c r="G1605" s="28">
        <v>0</v>
      </c>
    </row>
    <row r="1606" spans="1:7" hidden="1" x14ac:dyDescent="0.3">
      <c r="A1606" s="114">
        <v>44418</v>
      </c>
      <c r="E1606" s="28">
        <v>0</v>
      </c>
      <c r="G1606" s="28">
        <v>0</v>
      </c>
    </row>
    <row r="1607" spans="1:7" hidden="1" x14ac:dyDescent="0.3">
      <c r="A1607" s="114">
        <v>44419</v>
      </c>
      <c r="E1607" s="28">
        <v>0</v>
      </c>
      <c r="G1607" s="28">
        <v>0</v>
      </c>
    </row>
    <row r="1608" spans="1:7" hidden="1" x14ac:dyDescent="0.3">
      <c r="A1608" s="114">
        <v>44420</v>
      </c>
      <c r="E1608" s="28">
        <v>0</v>
      </c>
      <c r="G1608" s="28">
        <v>0</v>
      </c>
    </row>
    <row r="1609" spans="1:7" hidden="1" x14ac:dyDescent="0.3">
      <c r="A1609" s="114">
        <v>44421</v>
      </c>
      <c r="B1609" s="28">
        <v>19000</v>
      </c>
      <c r="E1609" s="28">
        <v>19000</v>
      </c>
      <c r="G1609" s="28">
        <v>19000</v>
      </c>
    </row>
    <row r="1610" spans="1:7" hidden="1" x14ac:dyDescent="0.3">
      <c r="A1610" s="114">
        <v>44422</v>
      </c>
      <c r="E1610" s="28">
        <v>0</v>
      </c>
      <c r="G1610" s="28">
        <v>0</v>
      </c>
    </row>
    <row r="1611" spans="1:7" hidden="1" x14ac:dyDescent="0.3">
      <c r="A1611" s="114">
        <v>44423</v>
      </c>
      <c r="E1611" s="28">
        <v>0</v>
      </c>
      <c r="G1611" s="28">
        <v>0</v>
      </c>
    </row>
    <row r="1612" spans="1:7" hidden="1" x14ac:dyDescent="0.3">
      <c r="A1612" s="114">
        <v>44424</v>
      </c>
      <c r="E1612" s="28">
        <v>0</v>
      </c>
      <c r="G1612" s="28">
        <v>0</v>
      </c>
    </row>
    <row r="1613" spans="1:7" hidden="1" x14ac:dyDescent="0.3">
      <c r="A1613" s="114">
        <v>44425</v>
      </c>
      <c r="E1613" s="28">
        <v>0</v>
      </c>
      <c r="G1613" s="28">
        <v>0</v>
      </c>
    </row>
    <row r="1614" spans="1:7" hidden="1" x14ac:dyDescent="0.3">
      <c r="A1614" s="114">
        <v>44426</v>
      </c>
      <c r="B1614" s="28">
        <v>25500</v>
      </c>
      <c r="E1614" s="28">
        <v>25500</v>
      </c>
      <c r="G1614" s="28">
        <v>25500</v>
      </c>
    </row>
    <row r="1615" spans="1:7" hidden="1" x14ac:dyDescent="0.3">
      <c r="A1615" s="114">
        <v>44427</v>
      </c>
      <c r="B1615" s="28">
        <v>115000</v>
      </c>
      <c r="E1615" s="28">
        <v>115000</v>
      </c>
      <c r="G1615" s="28">
        <v>115000</v>
      </c>
    </row>
    <row r="1616" spans="1:7" hidden="1" x14ac:dyDescent="0.3">
      <c r="A1616" s="114">
        <v>44428</v>
      </c>
      <c r="E1616" s="28">
        <v>0</v>
      </c>
      <c r="G1616" s="28">
        <v>0</v>
      </c>
    </row>
    <row r="1617" spans="1:7" hidden="1" x14ac:dyDescent="0.3">
      <c r="A1617" s="114">
        <v>44429</v>
      </c>
      <c r="B1617" s="28">
        <v>117600</v>
      </c>
      <c r="E1617" s="28">
        <v>117600</v>
      </c>
      <c r="G1617" s="28">
        <v>117600</v>
      </c>
    </row>
    <row r="1618" spans="1:7" hidden="1" x14ac:dyDescent="0.3">
      <c r="A1618" s="114">
        <v>44430</v>
      </c>
      <c r="B1618" s="28">
        <v>30000</v>
      </c>
      <c r="E1618" s="28">
        <v>30000</v>
      </c>
      <c r="G1618" s="28">
        <v>30000</v>
      </c>
    </row>
    <row r="1619" spans="1:7" hidden="1" x14ac:dyDescent="0.3">
      <c r="A1619" s="114">
        <v>44431</v>
      </c>
      <c r="E1619" s="28">
        <v>0</v>
      </c>
      <c r="G1619" s="28">
        <v>0</v>
      </c>
    </row>
    <row r="1620" spans="1:7" hidden="1" x14ac:dyDescent="0.3">
      <c r="A1620" s="114">
        <v>44432</v>
      </c>
      <c r="B1620" s="28">
        <v>9500</v>
      </c>
      <c r="E1620" s="28">
        <v>9500</v>
      </c>
      <c r="G1620" s="28">
        <v>9500</v>
      </c>
    </row>
    <row r="1621" spans="1:7" hidden="1" x14ac:dyDescent="0.3">
      <c r="A1621" s="114">
        <v>44433</v>
      </c>
      <c r="B1621" s="28">
        <v>48500</v>
      </c>
      <c r="E1621" s="28">
        <v>48500</v>
      </c>
      <c r="G1621" s="28">
        <v>48500</v>
      </c>
    </row>
    <row r="1622" spans="1:7" hidden="1" x14ac:dyDescent="0.3">
      <c r="A1622" s="114">
        <v>44434</v>
      </c>
      <c r="E1622" s="28">
        <v>0</v>
      </c>
      <c r="G1622" s="28">
        <v>0</v>
      </c>
    </row>
    <row r="1623" spans="1:7" hidden="1" x14ac:dyDescent="0.3">
      <c r="A1623" s="114">
        <v>44435</v>
      </c>
      <c r="E1623" s="28">
        <v>0</v>
      </c>
      <c r="G1623" s="28">
        <v>0</v>
      </c>
    </row>
    <row r="1624" spans="1:7" hidden="1" x14ac:dyDescent="0.3">
      <c r="A1624" s="114">
        <v>44436</v>
      </c>
      <c r="B1624" s="28">
        <v>195300</v>
      </c>
      <c r="E1624" s="28">
        <v>195300</v>
      </c>
      <c r="G1624" s="28">
        <v>195300</v>
      </c>
    </row>
    <row r="1625" spans="1:7" hidden="1" x14ac:dyDescent="0.3">
      <c r="A1625" s="114">
        <v>44437</v>
      </c>
      <c r="E1625" s="28">
        <v>0</v>
      </c>
      <c r="G1625" s="28">
        <v>0</v>
      </c>
    </row>
    <row r="1626" spans="1:7" hidden="1" x14ac:dyDescent="0.3">
      <c r="A1626" s="114">
        <v>44438</v>
      </c>
      <c r="E1626" s="28">
        <v>0</v>
      </c>
      <c r="G1626" s="28">
        <v>0</v>
      </c>
    </row>
    <row r="1627" spans="1:7" hidden="1" x14ac:dyDescent="0.3">
      <c r="A1627" s="114">
        <v>44439</v>
      </c>
      <c r="E1627" s="28">
        <v>0</v>
      </c>
      <c r="G1627" s="28">
        <v>0</v>
      </c>
    </row>
    <row r="1628" spans="1:7" hidden="1" x14ac:dyDescent="0.3">
      <c r="B1628" s="28">
        <v>755700</v>
      </c>
      <c r="C1628" s="28">
        <v>0</v>
      </c>
      <c r="D1628" s="28">
        <v>755700</v>
      </c>
      <c r="E1628" s="28">
        <v>0</v>
      </c>
      <c r="F1628" s="28">
        <v>755700</v>
      </c>
    </row>
    <row r="1629" spans="1:7" hidden="1" x14ac:dyDescent="0.3"/>
    <row r="1630" spans="1:7" hidden="1" x14ac:dyDescent="0.3"/>
    <row r="1631" spans="1:7" hidden="1" x14ac:dyDescent="0.3">
      <c r="A1631" s="114" t="s">
        <v>14</v>
      </c>
      <c r="E1631" s="28">
        <f>SUM(E1597:E1630)</f>
        <v>755700</v>
      </c>
      <c r="G1631" s="35">
        <f>SUM(G1597:G1630)</f>
        <v>755700</v>
      </c>
    </row>
    <row r="1632" spans="1:7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spans="6:6" hidden="1" x14ac:dyDescent="0.3"/>
    <row r="2626" spans="6:6" hidden="1" x14ac:dyDescent="0.3"/>
    <row r="2627" spans="6:6" hidden="1" x14ac:dyDescent="0.3"/>
    <row r="2628" spans="6:6" hidden="1" x14ac:dyDescent="0.3"/>
    <row r="2629" spans="6:6" hidden="1" x14ac:dyDescent="0.3"/>
    <row r="2630" spans="6:6" hidden="1" x14ac:dyDescent="0.3"/>
    <row r="2631" spans="6:6" hidden="1" x14ac:dyDescent="0.3">
      <c r="F2631" s="2"/>
    </row>
    <row r="2632" spans="6:6" hidden="1" x14ac:dyDescent="0.3">
      <c r="F2632" s="2"/>
    </row>
    <row r="2633" spans="6:6" hidden="1" x14ac:dyDescent="0.3"/>
    <row r="2634" spans="6:6" hidden="1" x14ac:dyDescent="0.3"/>
    <row r="2635" spans="6:6" hidden="1" x14ac:dyDescent="0.3"/>
    <row r="2636" spans="6:6" hidden="1" x14ac:dyDescent="0.3"/>
    <row r="2637" spans="6:6" hidden="1" x14ac:dyDescent="0.3"/>
    <row r="2638" spans="6:6" hidden="1" x14ac:dyDescent="0.3"/>
    <row r="2639" spans="6:6" hidden="1" x14ac:dyDescent="0.3"/>
    <row r="2640" spans="6:6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4" spans="1:17" ht="15" thickBot="1" x14ac:dyDescent="0.35"/>
    <row r="2675" spans="1:17" s="1" customFormat="1" ht="18" thickBot="1" x14ac:dyDescent="0.4">
      <c r="A2675" s="162"/>
      <c r="B2675" s="252" t="s">
        <v>78</v>
      </c>
      <c r="C2675" s="253"/>
      <c r="D2675" s="253"/>
      <c r="E2675" s="253"/>
      <c r="F2675" s="254"/>
      <c r="G2675" s="255" t="s">
        <v>79</v>
      </c>
      <c r="H2675" s="256"/>
      <c r="I2675" s="256"/>
      <c r="J2675" s="257"/>
      <c r="K2675" s="258" t="s">
        <v>80</v>
      </c>
      <c r="L2675" s="259"/>
      <c r="M2675" s="259"/>
      <c r="N2675" s="260"/>
      <c r="O2675" s="63"/>
      <c r="P2675" s="63"/>
      <c r="Q2675" s="64" t="s">
        <v>14</v>
      </c>
    </row>
    <row r="2676" spans="1:17" s="30" customFormat="1" ht="15" hidden="1" thickBot="1" x14ac:dyDescent="0.35">
      <c r="A2676" s="124"/>
      <c r="B2676" s="2"/>
      <c r="C2676" s="2"/>
      <c r="D2676" s="2"/>
      <c r="E2676" s="2"/>
      <c r="F2676" s="2"/>
      <c r="G2676" s="2"/>
      <c r="H2676" s="54"/>
      <c r="I2676"/>
      <c r="J2676"/>
      <c r="K2676"/>
      <c r="L2676"/>
      <c r="M2676"/>
      <c r="N2676"/>
      <c r="P2676" s="31"/>
      <c r="Q2676" s="34" t="s">
        <v>15</v>
      </c>
    </row>
    <row r="2677" spans="1:17" x14ac:dyDescent="0.3">
      <c r="A2677" s="116" t="s">
        <v>12</v>
      </c>
      <c r="B2677" s="36">
        <v>2021</v>
      </c>
      <c r="C2677" s="36">
        <v>2022</v>
      </c>
      <c r="D2677" s="36">
        <v>2023</v>
      </c>
      <c r="E2677" s="36">
        <v>2024</v>
      </c>
      <c r="F2677" s="36">
        <v>2025</v>
      </c>
      <c r="G2677" s="107" t="s">
        <v>81</v>
      </c>
      <c r="H2677" s="52" t="s">
        <v>82</v>
      </c>
      <c r="I2677" s="36" t="s">
        <v>83</v>
      </c>
      <c r="J2677" s="36" t="s">
        <v>84</v>
      </c>
      <c r="K2677" s="36" t="s">
        <v>81</v>
      </c>
      <c r="L2677" s="36" t="s">
        <v>82</v>
      </c>
      <c r="M2677" s="36" t="s">
        <v>83</v>
      </c>
      <c r="N2677" s="36" t="s">
        <v>84</v>
      </c>
      <c r="Q2677" s="34" t="s">
        <v>17</v>
      </c>
    </row>
    <row r="2678" spans="1:17" x14ac:dyDescent="0.3">
      <c r="A2678" s="126" t="s">
        <v>66</v>
      </c>
      <c r="B2678" s="40"/>
      <c r="C2678" s="40">
        <f>IFERROR(VLOOKUP($Q2680,$A$1:$E2656,5,FALSE),0)</f>
        <v>790010</v>
      </c>
      <c r="D2678" s="40">
        <f>IFERROR(VLOOKUP($Q2693,$A$1:$E2656,5,FALSE),0)</f>
        <v>1419900</v>
      </c>
      <c r="E2678" s="40">
        <f t="shared" ref="E2678:E2689" si="58">IFERROR(VLOOKUP($Q2705,$A$1:$E$2670,3,FALSE),0)</f>
        <v>4724600</v>
      </c>
      <c r="F2678" s="40">
        <f t="shared" ref="F2678:F2689" si="59">IFERROR(VLOOKUP($Q2717,$A$1:$E$2670,3,FALSE),0)</f>
        <v>6988637</v>
      </c>
      <c r="G2678" s="41">
        <f>C2678-B2678</f>
        <v>790010</v>
      </c>
      <c r="H2678" s="85">
        <f>D2678-C2678</f>
        <v>629890</v>
      </c>
      <c r="I2678" s="74">
        <f>E2678-D2678</f>
        <v>3304700</v>
      </c>
      <c r="J2678" s="236">
        <f>F2678-E2678</f>
        <v>2264037</v>
      </c>
      <c r="K2678" s="42" t="str">
        <f>IFERROR(G2678/B2678,"")</f>
        <v/>
      </c>
      <c r="L2678" s="42">
        <f>IFERROR(H2678/C2678,"")</f>
        <v>0.79731902127821164</v>
      </c>
      <c r="M2678" s="42">
        <f>IFERROR(I2678/D2678,"")</f>
        <v>2.3274174237622369</v>
      </c>
      <c r="N2678" s="42">
        <f>IFERROR(J2678/E2678,"")</f>
        <v>0.47920183719256659</v>
      </c>
      <c r="Q2678" s="34" t="s">
        <v>18</v>
      </c>
    </row>
    <row r="2679" spans="1:17" x14ac:dyDescent="0.3">
      <c r="A2679" s="126" t="s">
        <v>67</v>
      </c>
      <c r="B2679" s="40"/>
      <c r="C2679" s="40">
        <f>IFERROR(VLOOKUP($Q2681,$A$1:$E2657,5,FALSE),0)</f>
        <v>1562050</v>
      </c>
      <c r="D2679" s="40">
        <f>IFERROR(VLOOKUP($Q2694,$A$1:$E2656,5,FALSE),0)</f>
        <v>1802168</v>
      </c>
      <c r="E2679" s="40">
        <f t="shared" si="58"/>
        <v>2657000</v>
      </c>
      <c r="F2679" s="40">
        <f t="shared" si="59"/>
        <v>2827327</v>
      </c>
      <c r="G2679" s="41">
        <f t="shared" ref="G2679:G2689" si="60">C2679-B2679</f>
        <v>1562050</v>
      </c>
      <c r="H2679" s="85">
        <f t="shared" ref="H2679:H2689" si="61">D2679-C2679</f>
        <v>240118</v>
      </c>
      <c r="I2679" s="74">
        <f t="shared" ref="I2679:I2689" si="62">E2679-D2679</f>
        <v>854832</v>
      </c>
      <c r="J2679" s="236">
        <f t="shared" ref="J2679:J2689" si="63">F2679-E2679</f>
        <v>170327</v>
      </c>
      <c r="K2679" s="42" t="str">
        <f t="shared" ref="K2679:K2689" si="64">IFERROR(G2679/B2679,"")</f>
        <v/>
      </c>
      <c r="L2679" s="42">
        <f t="shared" ref="L2679:L2689" si="65">IFERROR(H2679/C2679,"")</f>
        <v>0.15371979129989438</v>
      </c>
      <c r="M2679" s="42">
        <f t="shared" ref="M2679:M2689" si="66">IFERROR(I2679/D2679,"")</f>
        <v>0.47433535608222988</v>
      </c>
      <c r="N2679" s="42">
        <f t="shared" ref="N2679:N2689" si="67">IFERROR(J2679/E2679,"")</f>
        <v>6.4105005645464813E-2</v>
      </c>
      <c r="Q2679" s="34" t="s">
        <v>16</v>
      </c>
    </row>
    <row r="2680" spans="1:17" x14ac:dyDescent="0.3">
      <c r="A2680" s="126" t="s">
        <v>68</v>
      </c>
      <c r="B2680" s="40"/>
      <c r="C2680" s="40">
        <f>IFERROR(VLOOKUP($Q2682,$A$1:$E2658,5,FALSE),0)</f>
        <v>1264300</v>
      </c>
      <c r="D2680" s="149">
        <f>IFERROR(VLOOKUP($Q2695,$A$1:$E2656,5,FALSE),0)</f>
        <v>1093820</v>
      </c>
      <c r="E2680" s="40">
        <f t="shared" si="58"/>
        <v>8061950</v>
      </c>
      <c r="F2680" s="40">
        <f t="shared" si="59"/>
        <v>1657625</v>
      </c>
      <c r="G2680" s="41">
        <f t="shared" si="60"/>
        <v>1264300</v>
      </c>
      <c r="H2680" s="86">
        <f t="shared" si="61"/>
        <v>-170480</v>
      </c>
      <c r="I2680" s="74">
        <f t="shared" si="62"/>
        <v>6968130</v>
      </c>
      <c r="J2680" s="237">
        <f t="shared" si="63"/>
        <v>-6404325</v>
      </c>
      <c r="K2680" s="42" t="str">
        <f t="shared" si="64"/>
        <v/>
      </c>
      <c r="L2680" s="70">
        <f t="shared" si="65"/>
        <v>-0.13484141422130824</v>
      </c>
      <c r="M2680" s="42">
        <f t="shared" si="66"/>
        <v>6.3704540052293792</v>
      </c>
      <c r="N2680" s="42">
        <f t="shared" si="67"/>
        <v>-0.7943890746035388</v>
      </c>
      <c r="Q2680" s="34" t="s">
        <v>19</v>
      </c>
    </row>
    <row r="2681" spans="1:17" x14ac:dyDescent="0.3">
      <c r="A2681" s="126" t="s">
        <v>69</v>
      </c>
      <c r="B2681" s="40"/>
      <c r="C2681" s="40">
        <f>IFERROR(VLOOKUP($Q2683,$A$1:$E2659,5,FALSE),0)</f>
        <v>2111500</v>
      </c>
      <c r="D2681" s="40">
        <f>IFERROR(VLOOKUP($Q2696,$A$1:$E2656,5,FALSE),0)</f>
        <v>2162003</v>
      </c>
      <c r="E2681" s="40">
        <f t="shared" si="58"/>
        <v>8412727.7599999998</v>
      </c>
      <c r="F2681" s="40">
        <f t="shared" si="59"/>
        <v>3246895</v>
      </c>
      <c r="G2681" s="41">
        <f t="shared" si="60"/>
        <v>2111500</v>
      </c>
      <c r="H2681" s="85">
        <f t="shared" si="61"/>
        <v>50503</v>
      </c>
      <c r="I2681" s="74">
        <f t="shared" si="62"/>
        <v>6250724.7599999998</v>
      </c>
      <c r="J2681" s="237">
        <f t="shared" si="63"/>
        <v>-5165832.76</v>
      </c>
      <c r="K2681" s="42" t="str">
        <f t="shared" si="64"/>
        <v/>
      </c>
      <c r="L2681" s="42">
        <f t="shared" si="65"/>
        <v>2.3918067724366564E-2</v>
      </c>
      <c r="M2681" s="42">
        <f t="shared" si="66"/>
        <v>2.8911730279745216</v>
      </c>
      <c r="N2681" s="42">
        <f t="shared" si="67"/>
        <v>-0.61404967655817733</v>
      </c>
      <c r="Q2681" s="34" t="s">
        <v>20</v>
      </c>
    </row>
    <row r="2682" spans="1:17" x14ac:dyDescent="0.3">
      <c r="A2682" s="126" t="s">
        <v>70</v>
      </c>
      <c r="B2682" s="40"/>
      <c r="C2682" s="40">
        <f>IFERROR(VLOOKUP($Q2684,$A$1:$E2660,5,FALSE),0)</f>
        <v>1988900</v>
      </c>
      <c r="D2682" s="40">
        <f>IFERROR(VLOOKUP($Q2697,$A$1:$E2656,5,FALSE),0)</f>
        <v>1755582</v>
      </c>
      <c r="E2682" s="40">
        <f t="shared" si="58"/>
        <v>4111490</v>
      </c>
      <c r="F2682" s="40">
        <f t="shared" si="59"/>
        <v>5014515</v>
      </c>
      <c r="G2682" s="41">
        <f t="shared" si="60"/>
        <v>1988900</v>
      </c>
      <c r="H2682" s="86">
        <f t="shared" si="61"/>
        <v>-233318</v>
      </c>
      <c r="I2682" s="74">
        <f t="shared" si="62"/>
        <v>2355908</v>
      </c>
      <c r="J2682" s="236">
        <f t="shared" si="63"/>
        <v>903025</v>
      </c>
      <c r="K2682" s="42" t="str">
        <f t="shared" si="64"/>
        <v/>
      </c>
      <c r="L2682" s="70">
        <f t="shared" si="65"/>
        <v>-0.1173100708934587</v>
      </c>
      <c r="M2682" s="42">
        <f t="shared" si="66"/>
        <v>1.3419526971682325</v>
      </c>
      <c r="N2682" s="42">
        <f t="shared" si="67"/>
        <v>0.21963448774045419</v>
      </c>
      <c r="Q2682" s="34" t="s">
        <v>21</v>
      </c>
    </row>
    <row r="2683" spans="1:17" x14ac:dyDescent="0.3">
      <c r="A2683" s="126" t="s">
        <v>71</v>
      </c>
      <c r="B2683" s="40"/>
      <c r="C2683" s="40">
        <f>IFERROR(VLOOKUP($Q2685,$A$1:$E2661,5,FALSE),0)</f>
        <v>1559200</v>
      </c>
      <c r="D2683" s="40">
        <f>IFERROR(VLOOKUP($Q2698,$A$1:$E2656,5,FALSE),0)</f>
        <v>2830372</v>
      </c>
      <c r="E2683" s="40">
        <f t="shared" si="58"/>
        <v>3961280</v>
      </c>
      <c r="F2683" s="40">
        <f t="shared" si="59"/>
        <v>3479869</v>
      </c>
      <c r="G2683" s="41">
        <f t="shared" si="60"/>
        <v>1559200</v>
      </c>
      <c r="H2683" s="85">
        <f t="shared" si="61"/>
        <v>1271172</v>
      </c>
      <c r="I2683" s="74">
        <f t="shared" si="62"/>
        <v>1130908</v>
      </c>
      <c r="J2683" s="236">
        <f t="shared" si="63"/>
        <v>-481411</v>
      </c>
      <c r="K2683" s="42" t="str">
        <f t="shared" si="64"/>
        <v/>
      </c>
      <c r="L2683" s="42">
        <f t="shared" si="65"/>
        <v>0.81527193432529499</v>
      </c>
      <c r="M2683" s="42">
        <f t="shared" si="66"/>
        <v>0.39956161239582644</v>
      </c>
      <c r="N2683" s="42">
        <f t="shared" si="67"/>
        <v>-0.12152915219323047</v>
      </c>
      <c r="Q2683" s="34" t="s">
        <v>22</v>
      </c>
    </row>
    <row r="2684" spans="1:17" x14ac:dyDescent="0.3">
      <c r="A2684" s="126" t="s">
        <v>72</v>
      </c>
      <c r="B2684" s="40"/>
      <c r="C2684" s="40">
        <f>IFERROR(VLOOKUP($Q2686,$A$1:$E2662,5,FALSE),0)</f>
        <v>759700</v>
      </c>
      <c r="D2684" s="40">
        <f>IFERROR(VLOOKUP($Q2699,$A$1:$E2656,5,FALSE),0)</f>
        <v>2621344</v>
      </c>
      <c r="E2684" s="40">
        <f t="shared" si="58"/>
        <v>4235041</v>
      </c>
      <c r="F2684" s="40">
        <f t="shared" si="59"/>
        <v>0</v>
      </c>
      <c r="G2684" s="41">
        <f t="shared" si="60"/>
        <v>759700</v>
      </c>
      <c r="H2684" s="85">
        <f t="shared" si="61"/>
        <v>1861644</v>
      </c>
      <c r="I2684" s="74">
        <f t="shared" si="62"/>
        <v>1613697</v>
      </c>
      <c r="J2684" s="236">
        <f t="shared" si="63"/>
        <v>-4235041</v>
      </c>
      <c r="K2684" s="42" t="str">
        <f t="shared" si="64"/>
        <v/>
      </c>
      <c r="L2684" s="42">
        <f t="shared" si="65"/>
        <v>2.4504988811372912</v>
      </c>
      <c r="M2684" s="42">
        <f t="shared" si="66"/>
        <v>0.61559909725697959</v>
      </c>
      <c r="N2684" s="42">
        <f t="shared" si="67"/>
        <v>-1</v>
      </c>
      <c r="Q2684" s="34" t="s">
        <v>23</v>
      </c>
    </row>
    <row r="2685" spans="1:17" x14ac:dyDescent="0.3">
      <c r="A2685" s="126" t="s">
        <v>73</v>
      </c>
      <c r="B2685" s="40">
        <f>IFERROR(VLOOKUP(Q2675,A1389:E2670,5,FALSE),0)</f>
        <v>755700</v>
      </c>
      <c r="C2685" s="40">
        <f>IFERROR(VLOOKUP($Q2687,$A$1:$E2663,5,FALSE),0)</f>
        <v>1325700</v>
      </c>
      <c r="D2685" s="40">
        <f>IFERROR(VLOOKUP($Q2700,$A$1:$E2656,5,FALSE),0)</f>
        <v>3519600</v>
      </c>
      <c r="E2685" s="40">
        <f t="shared" si="58"/>
        <v>4274272.1100000003</v>
      </c>
      <c r="F2685" s="40">
        <f t="shared" si="59"/>
        <v>0</v>
      </c>
      <c r="G2685" s="41">
        <f t="shared" si="60"/>
        <v>570000</v>
      </c>
      <c r="H2685" s="85">
        <f t="shared" si="61"/>
        <v>2193900</v>
      </c>
      <c r="I2685" s="74">
        <f t="shared" si="62"/>
        <v>754672.11000000034</v>
      </c>
      <c r="J2685" s="236">
        <f t="shared" si="63"/>
        <v>-4274272.1100000003</v>
      </c>
      <c r="K2685" s="42">
        <f t="shared" si="64"/>
        <v>0.75426756649464077</v>
      </c>
      <c r="L2685" s="42">
        <f t="shared" si="65"/>
        <v>1.6548992984838198</v>
      </c>
      <c r="M2685" s="42">
        <f t="shared" si="66"/>
        <v>0.21441985168769187</v>
      </c>
      <c r="N2685" s="42">
        <f t="shared" si="67"/>
        <v>-1</v>
      </c>
      <c r="Q2685" s="34" t="s">
        <v>24</v>
      </c>
    </row>
    <row r="2686" spans="1:17" x14ac:dyDescent="0.3">
      <c r="A2686" s="126" t="s">
        <v>74</v>
      </c>
      <c r="B2686" s="40">
        <v>1000000</v>
      </c>
      <c r="C2686" s="40">
        <f>IFERROR(VLOOKUP($Q2688,$A$1:$E2664,5,FALSE),0)</f>
        <v>3196550</v>
      </c>
      <c r="D2686" s="40">
        <f>IFERROR(VLOOKUP($Q2701,$A$1:$E2656,5,FALSE),0)</f>
        <v>4091904</v>
      </c>
      <c r="E2686" s="40">
        <f t="shared" si="58"/>
        <v>9256585</v>
      </c>
      <c r="F2686" s="40">
        <f t="shared" si="59"/>
        <v>0</v>
      </c>
      <c r="G2686" s="41">
        <f t="shared" si="60"/>
        <v>2196550</v>
      </c>
      <c r="H2686" s="85">
        <f t="shared" si="61"/>
        <v>895354</v>
      </c>
      <c r="I2686" s="74">
        <f t="shared" si="62"/>
        <v>5164681</v>
      </c>
      <c r="J2686" s="236">
        <f t="shared" si="63"/>
        <v>-9256585</v>
      </c>
      <c r="K2686" s="42">
        <f t="shared" si="64"/>
        <v>2.1965499999999998</v>
      </c>
      <c r="L2686" s="42">
        <f t="shared" si="65"/>
        <v>0.28010010792886081</v>
      </c>
      <c r="M2686" s="42">
        <f t="shared" si="66"/>
        <v>1.2621706178835086</v>
      </c>
      <c r="N2686" s="42">
        <f t="shared" si="67"/>
        <v>-1</v>
      </c>
      <c r="Q2686" s="34" t="s">
        <v>25</v>
      </c>
    </row>
    <row r="2687" spans="1:17" x14ac:dyDescent="0.3">
      <c r="A2687" s="126" t="s">
        <v>75</v>
      </c>
      <c r="B2687" s="40">
        <f>IFERROR(VLOOKUP(Q2677,A1391:E2672,5,FALSE),0)</f>
        <v>637600</v>
      </c>
      <c r="C2687" s="40">
        <f>IFERROR(VLOOKUP($Q2689,$A$1:$E2665,5,FALSE),0)</f>
        <v>2203700</v>
      </c>
      <c r="D2687" s="40">
        <f>IFERROR(VLOOKUP($Q2702,$A$1:$E2656,3,FALSE),0)</f>
        <v>1905021</v>
      </c>
      <c r="E2687" s="40">
        <f t="shared" si="58"/>
        <v>6423378</v>
      </c>
      <c r="F2687" s="40">
        <f t="shared" si="59"/>
        <v>0</v>
      </c>
      <c r="G2687" s="41">
        <f t="shared" si="60"/>
        <v>1566100</v>
      </c>
      <c r="H2687" s="86">
        <f t="shared" si="61"/>
        <v>-298679</v>
      </c>
      <c r="I2687" s="74">
        <f t="shared" si="62"/>
        <v>4518357</v>
      </c>
      <c r="J2687" s="236">
        <f t="shared" si="63"/>
        <v>-6423378</v>
      </c>
      <c r="K2687" s="42">
        <f t="shared" si="64"/>
        <v>2.4562421580928482</v>
      </c>
      <c r="L2687" s="70">
        <f t="shared" si="65"/>
        <v>-0.13553523619367427</v>
      </c>
      <c r="M2687" s="42">
        <f t="shared" si="66"/>
        <v>2.3718147988919807</v>
      </c>
      <c r="N2687" s="42">
        <f t="shared" si="67"/>
        <v>-1</v>
      </c>
      <c r="Q2687" s="34" t="s">
        <v>26</v>
      </c>
    </row>
    <row r="2688" spans="1:17" x14ac:dyDescent="0.3">
      <c r="A2688" s="126" t="s">
        <v>76</v>
      </c>
      <c r="B2688" s="40">
        <v>650000</v>
      </c>
      <c r="C2688" s="40">
        <f>IFERROR(VLOOKUP($Q2690,$A$1:$E2666,5,FALSE),0)</f>
        <v>1403090</v>
      </c>
      <c r="D2688" s="40">
        <f>IFERROR(VLOOKUP($Q2703,$A$1:$E2656,3,FALSE),0)</f>
        <v>4338452</v>
      </c>
      <c r="E2688" s="40">
        <f t="shared" si="58"/>
        <v>5546079</v>
      </c>
      <c r="F2688" s="40">
        <f t="shared" si="59"/>
        <v>0</v>
      </c>
      <c r="G2688" s="41">
        <f t="shared" si="60"/>
        <v>753090</v>
      </c>
      <c r="H2688" s="85">
        <f t="shared" si="61"/>
        <v>2935362</v>
      </c>
      <c r="I2688" s="74">
        <f t="shared" si="62"/>
        <v>1207627</v>
      </c>
      <c r="J2688" s="236">
        <f t="shared" si="63"/>
        <v>-5546079</v>
      </c>
      <c r="K2688" s="42">
        <f t="shared" si="64"/>
        <v>1.1586000000000001</v>
      </c>
      <c r="L2688" s="42">
        <f t="shared" si="65"/>
        <v>2.0920696462807089</v>
      </c>
      <c r="M2688" s="42">
        <f t="shared" si="66"/>
        <v>0.27835435311949974</v>
      </c>
      <c r="N2688" s="42">
        <f t="shared" si="67"/>
        <v>-1</v>
      </c>
      <c r="Q2688" s="34" t="s">
        <v>27</v>
      </c>
    </row>
    <row r="2689" spans="1:18" ht="15" thickBot="1" x14ac:dyDescent="0.35">
      <c r="A2689" s="126" t="s">
        <v>77</v>
      </c>
      <c r="B2689" s="40">
        <f>IFERROR(VLOOKUP(Q2679,A1393:E2674,5,FALSE),0)</f>
        <v>1495200</v>
      </c>
      <c r="C2689" s="40">
        <f>IFERROR(VLOOKUP($Q2691,$A$1:$E2667,5,FALSE),0)</f>
        <v>5576300</v>
      </c>
      <c r="D2689" s="40">
        <f>IFERROR(VLOOKUP($Q2704,$A$1:$E2656,3,FALSE),0)</f>
        <v>11409354.91</v>
      </c>
      <c r="E2689" s="40">
        <f t="shared" si="58"/>
        <v>10449038</v>
      </c>
      <c r="F2689" s="40">
        <f t="shared" si="59"/>
        <v>0</v>
      </c>
      <c r="G2689" s="41">
        <f t="shared" si="60"/>
        <v>4081100</v>
      </c>
      <c r="H2689" s="85">
        <f t="shared" si="61"/>
        <v>5833054.9100000001</v>
      </c>
      <c r="I2689" s="74">
        <f t="shared" si="62"/>
        <v>-960316.91000000015</v>
      </c>
      <c r="J2689" s="236">
        <f t="shared" si="63"/>
        <v>-10449038</v>
      </c>
      <c r="K2689" s="42">
        <f t="shared" si="64"/>
        <v>2.7294676297485285</v>
      </c>
      <c r="L2689" s="42">
        <f t="shared" si="65"/>
        <v>1.04604395566953</v>
      </c>
      <c r="M2689" s="42">
        <f t="shared" si="66"/>
        <v>-8.4169255630597267E-2</v>
      </c>
      <c r="N2689" s="42">
        <f t="shared" si="67"/>
        <v>-1</v>
      </c>
      <c r="Q2689" s="34" t="s">
        <v>28</v>
      </c>
    </row>
    <row r="2690" spans="1:18" x14ac:dyDescent="0.3">
      <c r="A2690" s="117" t="s">
        <v>11</v>
      </c>
      <c r="B2690" s="43">
        <f>SUM(B2685:B2689)</f>
        <v>4538500</v>
      </c>
      <c r="C2690" s="43">
        <f>SUM(C2678:C2689)</f>
        <v>23741000</v>
      </c>
      <c r="D2690" s="43">
        <f t="shared" ref="D2690:N2690" si="68">SUM(D2678:D2689)</f>
        <v>38949520.909999996</v>
      </c>
      <c r="E2690" s="43">
        <f t="shared" si="68"/>
        <v>72113440.870000005</v>
      </c>
      <c r="F2690" s="43">
        <f t="shared" si="68"/>
        <v>23214868</v>
      </c>
      <c r="G2690" s="43">
        <f t="shared" si="68"/>
        <v>19202500</v>
      </c>
      <c r="H2690" s="87">
        <f t="shared" si="68"/>
        <v>15208520.91</v>
      </c>
      <c r="I2690" s="43">
        <f t="shared" si="68"/>
        <v>33163919.959999997</v>
      </c>
      <c r="J2690" s="43">
        <f t="shared" si="68"/>
        <v>-48898572.870000005</v>
      </c>
      <c r="K2690" s="108">
        <f>AVERAGE(K2678:K2689)</f>
        <v>1.8590254708672034</v>
      </c>
      <c r="L2690" s="108">
        <f>AVERAGE(L2678:L2689)</f>
        <v>0.74384616523496139</v>
      </c>
      <c r="M2690" s="43">
        <f t="shared" si="68"/>
        <v>18.46308358582149</v>
      </c>
      <c r="N2690" s="43">
        <f t="shared" si="68"/>
        <v>-6.7670265727764605</v>
      </c>
      <c r="Q2690" s="34" t="s">
        <v>29</v>
      </c>
    </row>
    <row r="2691" spans="1:18" x14ac:dyDescent="0.3">
      <c r="A2691" s="118"/>
      <c r="B2691" s="110"/>
      <c r="F2691" s="2"/>
      <c r="Q2691" s="34" t="s">
        <v>30</v>
      </c>
    </row>
    <row r="2692" spans="1:18" ht="15" customHeight="1" x14ac:dyDescent="0.3">
      <c r="A2692" s="267" t="s">
        <v>170</v>
      </c>
      <c r="B2692" s="268"/>
      <c r="C2692" s="268"/>
      <c r="D2692" s="268"/>
      <c r="E2692" s="268"/>
      <c r="F2692" s="268"/>
      <c r="G2692" s="268"/>
      <c r="H2692" s="268"/>
      <c r="I2692" s="268"/>
      <c r="J2692" s="268"/>
      <c r="K2692" s="268"/>
      <c r="L2692" s="268"/>
      <c r="M2692" s="268"/>
      <c r="Q2692" s="34"/>
    </row>
    <row r="2693" spans="1:18" s="159" customFormat="1" x14ac:dyDescent="0.3">
      <c r="A2693" s="150" t="s">
        <v>12</v>
      </c>
      <c r="B2693" s="151" t="s">
        <v>139</v>
      </c>
      <c r="C2693" s="152" t="s">
        <v>140</v>
      </c>
      <c r="D2693" s="152" t="s">
        <v>143</v>
      </c>
      <c r="E2693" s="152" t="s">
        <v>141</v>
      </c>
      <c r="F2693" s="153" t="s">
        <v>142</v>
      </c>
      <c r="G2693" s="152" t="s">
        <v>144</v>
      </c>
      <c r="H2693" s="154" t="s">
        <v>219</v>
      </c>
      <c r="I2693" s="154" t="s">
        <v>220</v>
      </c>
      <c r="J2693" s="154" t="s">
        <v>221</v>
      </c>
      <c r="K2693" s="154" t="s">
        <v>222</v>
      </c>
      <c r="L2693" s="154" t="s">
        <v>223</v>
      </c>
      <c r="M2693" s="155" t="s">
        <v>224</v>
      </c>
      <c r="N2693" s="156"/>
      <c r="O2693" s="156"/>
      <c r="P2693" s="157"/>
      <c r="Q2693" s="158" t="s">
        <v>31</v>
      </c>
    </row>
    <row r="2694" spans="1:18" x14ac:dyDescent="0.3">
      <c r="A2694" s="119" t="s">
        <v>66</v>
      </c>
      <c r="B2694" s="208">
        <f t="shared" ref="B2694:B2705" si="69">C2678</f>
        <v>790010</v>
      </c>
      <c r="C2694" s="209">
        <v>135049</v>
      </c>
      <c r="D2694" s="218">
        <f>(C2694/B2694)</f>
        <v>0.17094593739319755</v>
      </c>
      <c r="E2694" s="210">
        <f t="shared" ref="E2694:E2705" si="70">D2678</f>
        <v>1419900</v>
      </c>
      <c r="F2694" s="210">
        <v>596698.63</v>
      </c>
      <c r="G2694" s="217">
        <f t="shared" ref="G2694:G2705" si="71">IFERROR(F2694/E2694,"")</f>
        <v>0.42023989717585747</v>
      </c>
      <c r="H2694" s="212">
        <f t="shared" ref="H2694:H2705" si="72">E2678</f>
        <v>4724600</v>
      </c>
      <c r="I2694" s="213">
        <f>IFERROR(VLOOKUP($Q2705,$A$1:F2666,5,FALSE),0)</f>
        <v>1318116.5384615385</v>
      </c>
      <c r="J2694" s="214">
        <f t="shared" ref="J2694:J2705" si="73">IFERROR(I2694/H2694,"")</f>
        <v>0.27899008137441023</v>
      </c>
      <c r="K2694" s="44">
        <f t="shared" ref="K2694:K2705" si="74">F2678</f>
        <v>6988637</v>
      </c>
      <c r="L2694" s="44">
        <f>IFERROR(VLOOKUP($Q2717,$A$1:I2666,5,FALSE),0)</f>
        <v>1411189</v>
      </c>
      <c r="M2694" s="207">
        <f t="shared" ref="M2694:M2705" si="75">IFERROR(L2694/K2694,"")</f>
        <v>0.20192621250753187</v>
      </c>
      <c r="O2694" s="44"/>
      <c r="Q2694" s="175" t="s">
        <v>32</v>
      </c>
      <c r="R2694" s="240"/>
    </row>
    <row r="2695" spans="1:18" x14ac:dyDescent="0.3">
      <c r="A2695" s="119" t="s">
        <v>67</v>
      </c>
      <c r="B2695" s="208">
        <f t="shared" si="69"/>
        <v>1562050</v>
      </c>
      <c r="C2695" s="209">
        <v>545246</v>
      </c>
      <c r="D2695" s="218">
        <f>(C2695)/B2695</f>
        <v>0.34905796869498418</v>
      </c>
      <c r="E2695" s="210">
        <f t="shared" si="70"/>
        <v>1802168</v>
      </c>
      <c r="F2695" s="211">
        <v>1121880</v>
      </c>
      <c r="G2695" s="217">
        <f t="shared" si="71"/>
        <v>0.62251687966937597</v>
      </c>
      <c r="H2695" s="212">
        <f t="shared" si="72"/>
        <v>2657000</v>
      </c>
      <c r="I2695" s="213">
        <f>IFERROR(VLOOKUP($Q2706,$A$1:F2667,5,FALSE),0)</f>
        <v>1492480.1</v>
      </c>
      <c r="J2695" s="214">
        <f t="shared" si="73"/>
        <v>0.56171625893865262</v>
      </c>
      <c r="K2695" s="44">
        <f t="shared" si="74"/>
        <v>2827327</v>
      </c>
      <c r="L2695" s="44">
        <f>IFERROR(VLOOKUP($Q2718,$A$1:I2667,5,FALSE),0)</f>
        <v>795805</v>
      </c>
      <c r="M2695" s="207">
        <f t="shared" si="75"/>
        <v>0.28146903417963326</v>
      </c>
      <c r="Q2695" s="175" t="s">
        <v>33</v>
      </c>
      <c r="R2695" s="240"/>
    </row>
    <row r="2696" spans="1:18" x14ac:dyDescent="0.3">
      <c r="A2696" s="119" t="s">
        <v>68</v>
      </c>
      <c r="B2696" s="208">
        <f t="shared" si="69"/>
        <v>1264300</v>
      </c>
      <c r="C2696" s="209">
        <v>607578</v>
      </c>
      <c r="D2696" s="218">
        <f t="shared" ref="D2696:D2705" si="76">(C2696)/B2696</f>
        <v>0.48056473938147592</v>
      </c>
      <c r="E2696" s="210">
        <f t="shared" si="70"/>
        <v>1093820</v>
      </c>
      <c r="F2696" s="211">
        <v>1029953</v>
      </c>
      <c r="G2696" s="217">
        <f t="shared" si="71"/>
        <v>0.94161105117843891</v>
      </c>
      <c r="H2696" s="212">
        <f t="shared" si="72"/>
        <v>8061950</v>
      </c>
      <c r="I2696" s="213">
        <f>IFERROR(VLOOKUP($Q2707,$A$1:F2668,5,FALSE),0)</f>
        <v>1664610</v>
      </c>
      <c r="J2696" s="214">
        <f t="shared" si="73"/>
        <v>0.20647734108993482</v>
      </c>
      <c r="K2696" s="44">
        <f t="shared" si="74"/>
        <v>1657625</v>
      </c>
      <c r="L2696" s="44">
        <f>IFERROR(VLOOKUP($Q2719,$A$1:I2668,5,FALSE),0)</f>
        <v>1041150</v>
      </c>
      <c r="M2696" s="207">
        <f t="shared" si="75"/>
        <v>0.62809742854988315</v>
      </c>
      <c r="Q2696" s="175" t="s">
        <v>34</v>
      </c>
      <c r="R2696" s="240"/>
    </row>
    <row r="2697" spans="1:18" x14ac:dyDescent="0.3">
      <c r="A2697" s="119" t="s">
        <v>69</v>
      </c>
      <c r="B2697" s="208">
        <f t="shared" si="69"/>
        <v>2111500</v>
      </c>
      <c r="C2697" s="209">
        <v>936157</v>
      </c>
      <c r="D2697" s="218">
        <f t="shared" si="76"/>
        <v>0.44336111768884678</v>
      </c>
      <c r="E2697" s="210">
        <f t="shared" si="70"/>
        <v>2162003</v>
      </c>
      <c r="F2697" s="211">
        <v>980735.26</v>
      </c>
      <c r="G2697" s="217">
        <f t="shared" si="71"/>
        <v>0.45362345010622096</v>
      </c>
      <c r="H2697" s="212">
        <f t="shared" si="72"/>
        <v>8412727.7599999998</v>
      </c>
      <c r="I2697" s="213">
        <f>IFERROR(VLOOKUP($Q2708,$A$1:F2669,5,FALSE),0)</f>
        <v>1909153</v>
      </c>
      <c r="J2697" s="214">
        <f t="shared" si="73"/>
        <v>0.226936263060532</v>
      </c>
      <c r="K2697" s="44">
        <f t="shared" si="74"/>
        <v>3246895</v>
      </c>
      <c r="L2697" s="44">
        <f>IFERROR(VLOOKUP($Q2720,$A$1:I2669,5,FALSE),0)</f>
        <v>695182</v>
      </c>
      <c r="M2697" s="207">
        <f t="shared" si="75"/>
        <v>0.21410670810112431</v>
      </c>
      <c r="Q2697" s="175" t="s">
        <v>35</v>
      </c>
      <c r="R2697" s="240"/>
    </row>
    <row r="2698" spans="1:18" x14ac:dyDescent="0.3">
      <c r="A2698" s="119" t="s">
        <v>70</v>
      </c>
      <c r="B2698" s="208">
        <f t="shared" si="69"/>
        <v>1988900</v>
      </c>
      <c r="C2698" s="209">
        <v>679036.5</v>
      </c>
      <c r="D2698" s="218">
        <f t="shared" si="76"/>
        <v>0.34141309266428677</v>
      </c>
      <c r="E2698" s="210">
        <f t="shared" si="70"/>
        <v>1755582</v>
      </c>
      <c r="F2698" s="211">
        <v>1533789</v>
      </c>
      <c r="G2698" s="217">
        <f t="shared" si="71"/>
        <v>0.873664118224042</v>
      </c>
      <c r="H2698" s="212">
        <f t="shared" si="72"/>
        <v>4111490</v>
      </c>
      <c r="I2698" s="213">
        <f>IFERROR(VLOOKUP($Q2709,$A$1:F2670,5,FALSE),0)</f>
        <v>774520.72</v>
      </c>
      <c r="J2698" s="214">
        <f t="shared" si="73"/>
        <v>0.1883795704233745</v>
      </c>
      <c r="K2698" s="44">
        <f t="shared" si="74"/>
        <v>5014515</v>
      </c>
      <c r="L2698" s="44">
        <f>IFERROR(VLOOKUP($Q2721,$A$1:I2670,5,FALSE),0)</f>
        <v>908809</v>
      </c>
      <c r="M2698" s="207">
        <f t="shared" si="75"/>
        <v>0.18123567284174041</v>
      </c>
      <c r="Q2698" s="175" t="s">
        <v>36</v>
      </c>
      <c r="R2698" s="240"/>
    </row>
    <row r="2699" spans="1:18" x14ac:dyDescent="0.3">
      <c r="A2699" s="119" t="s">
        <v>71</v>
      </c>
      <c r="B2699" s="208">
        <f t="shared" si="69"/>
        <v>1559200</v>
      </c>
      <c r="C2699" s="209">
        <v>686308.28</v>
      </c>
      <c r="D2699" s="218">
        <f t="shared" si="76"/>
        <v>0.44016693175987687</v>
      </c>
      <c r="E2699" s="210">
        <f t="shared" si="70"/>
        <v>2830372</v>
      </c>
      <c r="F2699" s="211">
        <v>1193123</v>
      </c>
      <c r="G2699" s="217">
        <f t="shared" si="71"/>
        <v>0.42154282193294734</v>
      </c>
      <c r="H2699" s="212">
        <f t="shared" si="72"/>
        <v>3961280</v>
      </c>
      <c r="I2699" s="213">
        <f>IFERROR(VLOOKUP($Q2710,$A$1:F2671,5,FALSE),0)</f>
        <v>150060</v>
      </c>
      <c r="J2699" s="214">
        <f t="shared" si="73"/>
        <v>3.7881694805719367E-2</v>
      </c>
      <c r="K2699" s="44">
        <f t="shared" si="74"/>
        <v>3479869</v>
      </c>
      <c r="L2699" s="44">
        <f>IFERROR(VLOOKUP($Q2722,$A$1:I2671,5,FALSE),0)</f>
        <v>1176313</v>
      </c>
      <c r="M2699" s="207">
        <f t="shared" si="75"/>
        <v>0.338033701843374</v>
      </c>
      <c r="Q2699" s="175" t="s">
        <v>37</v>
      </c>
      <c r="R2699" s="240"/>
    </row>
    <row r="2700" spans="1:18" x14ac:dyDescent="0.3">
      <c r="A2700" s="119" t="s">
        <v>72</v>
      </c>
      <c r="B2700" s="208">
        <f t="shared" si="69"/>
        <v>759700</v>
      </c>
      <c r="C2700" s="209">
        <v>94364</v>
      </c>
      <c r="D2700" s="218">
        <f t="shared" si="76"/>
        <v>0.12421218902198236</v>
      </c>
      <c r="E2700" s="210">
        <f t="shared" si="70"/>
        <v>2621344</v>
      </c>
      <c r="F2700" s="211">
        <v>1854540</v>
      </c>
      <c r="G2700" s="217">
        <f t="shared" si="71"/>
        <v>0.70747677527253194</v>
      </c>
      <c r="H2700" s="212">
        <f t="shared" si="72"/>
        <v>4235041</v>
      </c>
      <c r="I2700" s="213">
        <f>IFERROR(VLOOKUP($Q2711,$A$1:F2672,5,FALSE),0)</f>
        <v>1671033</v>
      </c>
      <c r="J2700" s="214">
        <f t="shared" si="73"/>
        <v>0.39457303955262768</v>
      </c>
      <c r="K2700" s="44">
        <f t="shared" si="74"/>
        <v>0</v>
      </c>
      <c r="L2700" s="44">
        <f>IFERROR(VLOOKUP($Q2723,$A$1:I2672,5,FALSE),0)</f>
        <v>0</v>
      </c>
      <c r="M2700" s="207" t="str">
        <f t="shared" si="75"/>
        <v/>
      </c>
      <c r="Q2700" s="175" t="s">
        <v>38</v>
      </c>
      <c r="R2700" s="240"/>
    </row>
    <row r="2701" spans="1:18" x14ac:dyDescent="0.3">
      <c r="A2701" s="119" t="s">
        <v>73</v>
      </c>
      <c r="B2701" s="208">
        <f t="shared" si="69"/>
        <v>1325700</v>
      </c>
      <c r="C2701" s="209">
        <v>762763</v>
      </c>
      <c r="D2701" s="218">
        <f>(C2695)/B2695</f>
        <v>0.34905796869498418</v>
      </c>
      <c r="E2701" s="210">
        <f t="shared" si="70"/>
        <v>3519600</v>
      </c>
      <c r="F2701" s="211">
        <v>1997788</v>
      </c>
      <c r="G2701" s="217">
        <f t="shared" si="71"/>
        <v>0.56761791112626436</v>
      </c>
      <c r="H2701" s="212">
        <f t="shared" si="72"/>
        <v>4274272.1100000003</v>
      </c>
      <c r="I2701" s="213">
        <f>IFERROR(VLOOKUP($Q2712,$A$1:F2673,5,FALSE),0)</f>
        <v>1552077.07</v>
      </c>
      <c r="J2701" s="214">
        <f t="shared" si="73"/>
        <v>0.36312079110938961</v>
      </c>
      <c r="K2701" s="44">
        <f t="shared" si="74"/>
        <v>0</v>
      </c>
      <c r="L2701" s="44">
        <f>IFERROR(VLOOKUP($Q2724,$A$1:I2673,5,FALSE),0)</f>
        <v>0</v>
      </c>
      <c r="M2701" s="207" t="str">
        <f t="shared" si="75"/>
        <v/>
      </c>
      <c r="Q2701" s="175" t="s">
        <v>39</v>
      </c>
      <c r="R2701" s="240"/>
    </row>
    <row r="2702" spans="1:18" x14ac:dyDescent="0.3">
      <c r="A2702" s="119" t="s">
        <v>74</v>
      </c>
      <c r="B2702" s="208">
        <f t="shared" si="69"/>
        <v>3196550</v>
      </c>
      <c r="C2702" s="209">
        <v>1290488</v>
      </c>
      <c r="D2702" s="218">
        <f t="shared" si="76"/>
        <v>0.40371275281162505</v>
      </c>
      <c r="E2702" s="210">
        <f t="shared" si="70"/>
        <v>4091904</v>
      </c>
      <c r="F2702" s="211">
        <v>2319342</v>
      </c>
      <c r="G2702" s="217">
        <f t="shared" si="71"/>
        <v>0.56681241788663661</v>
      </c>
      <c r="H2702" s="212">
        <f t="shared" si="72"/>
        <v>9256585</v>
      </c>
      <c r="I2702" s="213">
        <f>IFERROR(VLOOKUP($Q2713,$A$1:F2674,5,FALSE),0)</f>
        <v>2285923</v>
      </c>
      <c r="J2702" s="214">
        <f t="shared" si="73"/>
        <v>0.24695100839024328</v>
      </c>
      <c r="K2702" s="44">
        <f t="shared" si="74"/>
        <v>0</v>
      </c>
      <c r="L2702" s="44">
        <f>IFERROR(VLOOKUP($Q2725,$A$1:I2674,5,FALSE),0)</f>
        <v>0</v>
      </c>
      <c r="M2702" s="207" t="str">
        <f t="shared" si="75"/>
        <v/>
      </c>
      <c r="Q2702" s="175" t="s">
        <v>40</v>
      </c>
      <c r="R2702" s="240"/>
    </row>
    <row r="2703" spans="1:18" x14ac:dyDescent="0.3">
      <c r="A2703" s="119" t="s">
        <v>75</v>
      </c>
      <c r="B2703" s="208">
        <f t="shared" si="69"/>
        <v>2203700</v>
      </c>
      <c r="C2703" s="209">
        <v>663079</v>
      </c>
      <c r="D2703" s="218">
        <f t="shared" si="76"/>
        <v>0.30089349729999548</v>
      </c>
      <c r="E2703" s="210">
        <f t="shared" si="70"/>
        <v>1905021</v>
      </c>
      <c r="F2703" s="211">
        <f>IFERROR(VLOOKUP($Q2702,$A$1:F2665,5,FALSE),0)</f>
        <v>497475</v>
      </c>
      <c r="G2703" s="219">
        <f t="shared" si="71"/>
        <v>0.26113885358744077</v>
      </c>
      <c r="H2703" s="212">
        <f t="shared" si="72"/>
        <v>6423378</v>
      </c>
      <c r="I2703" s="213">
        <f>IFERROR(VLOOKUP($Q2714,$A$1:F2675,5,FALSE),0)</f>
        <v>1333384</v>
      </c>
      <c r="J2703" s="214">
        <f t="shared" si="73"/>
        <v>0.20758298826567578</v>
      </c>
      <c r="K2703" s="44">
        <f t="shared" si="74"/>
        <v>0</v>
      </c>
      <c r="L2703" s="44">
        <f>IFERROR(VLOOKUP($Q2726,$A$1:I2675,5,FALSE),0)</f>
        <v>0</v>
      </c>
      <c r="M2703" s="207" t="str">
        <f t="shared" si="75"/>
        <v/>
      </c>
      <c r="Q2703" s="175" t="s">
        <v>41</v>
      </c>
      <c r="R2703" s="240"/>
    </row>
    <row r="2704" spans="1:18" x14ac:dyDescent="0.3">
      <c r="A2704" s="119" t="s">
        <v>76</v>
      </c>
      <c r="B2704" s="208">
        <f t="shared" si="69"/>
        <v>1403090</v>
      </c>
      <c r="C2704" s="209">
        <v>1086375</v>
      </c>
      <c r="D2704" s="218">
        <f t="shared" si="76"/>
        <v>0.77427321126941251</v>
      </c>
      <c r="E2704" s="210">
        <f t="shared" si="70"/>
        <v>4338452</v>
      </c>
      <c r="F2704" s="211">
        <f>IFERROR(VLOOKUP($Q2703,$A$1:F2666,5,FALSE),0)</f>
        <v>809688.72</v>
      </c>
      <c r="G2704" s="219">
        <f t="shared" si="71"/>
        <v>0.18663078904641564</v>
      </c>
      <c r="H2704" s="212">
        <f t="shared" si="72"/>
        <v>5546079</v>
      </c>
      <c r="I2704" s="213">
        <f>IFERROR(VLOOKUP($Q2715,$A$1:F2676,5,FALSE),0)</f>
        <v>1605811</v>
      </c>
      <c r="J2704" s="214">
        <f t="shared" si="73"/>
        <v>0.28953987132170311</v>
      </c>
      <c r="K2704" s="44">
        <f t="shared" si="74"/>
        <v>0</v>
      </c>
      <c r="L2704" s="44">
        <f>IFERROR(VLOOKUP($Q2727,$A$1:I2676,5,FALSE),0)</f>
        <v>0</v>
      </c>
      <c r="M2704" s="207" t="str">
        <f t="shared" si="75"/>
        <v/>
      </c>
      <c r="Q2704" s="175" t="s">
        <v>42</v>
      </c>
      <c r="R2704" s="240"/>
    </row>
    <row r="2705" spans="1:19" x14ac:dyDescent="0.3">
      <c r="A2705" s="119" t="s">
        <v>77</v>
      </c>
      <c r="B2705" s="208">
        <f t="shared" si="69"/>
        <v>5576300</v>
      </c>
      <c r="C2705" s="209">
        <v>2474711</v>
      </c>
      <c r="D2705" s="218">
        <f t="shared" si="76"/>
        <v>0.44379086491042447</v>
      </c>
      <c r="E2705" s="210">
        <f t="shared" si="70"/>
        <v>11409354.91</v>
      </c>
      <c r="F2705" s="211">
        <f>IFERROR(VLOOKUP($Q2704,$A$1:F2667,5,FALSE),0)</f>
        <v>2473954.56</v>
      </c>
      <c r="G2705" s="219">
        <f t="shared" si="71"/>
        <v>0.21683562125249026</v>
      </c>
      <c r="H2705" s="212">
        <f t="shared" si="72"/>
        <v>10449038</v>
      </c>
      <c r="I2705" s="213">
        <f>IFERROR(VLOOKUP($Q2716,$A$1:F2677,5,FALSE),0)</f>
        <v>1626271</v>
      </c>
      <c r="J2705" s="214">
        <f t="shared" si="73"/>
        <v>0.15563834680283486</v>
      </c>
      <c r="K2705" s="44">
        <f t="shared" si="74"/>
        <v>0</v>
      </c>
      <c r="L2705" s="44">
        <f>IFERROR(VLOOKUP($Q2728,$A$1:I2677,5,FALSE),0)</f>
        <v>0</v>
      </c>
      <c r="M2705" s="207" t="str">
        <f t="shared" si="75"/>
        <v/>
      </c>
      <c r="Q2705" s="175" t="s">
        <v>43</v>
      </c>
      <c r="R2705" s="240"/>
    </row>
    <row r="2706" spans="1:19" ht="26.25" customHeight="1" x14ac:dyDescent="0.3">
      <c r="A2706" s="262" t="s">
        <v>146</v>
      </c>
      <c r="B2706" s="263">
        <f t="shared" ref="B2706:J2706" si="77">AVERAGE(B2694:B2705)</f>
        <v>1978416.6666666667</v>
      </c>
      <c r="C2706" s="264">
        <f t="shared" si="77"/>
        <v>830096.2316666668</v>
      </c>
      <c r="D2706" s="265">
        <f t="shared" si="77"/>
        <v>0.38512085596592432</v>
      </c>
      <c r="E2706" s="266">
        <f t="shared" si="77"/>
        <v>3245793.4091666662</v>
      </c>
      <c r="F2706" s="266">
        <f t="shared" si="77"/>
        <v>1367413.9308333334</v>
      </c>
      <c r="G2706" s="246">
        <f t="shared" si="77"/>
        <v>0.51997588220488855</v>
      </c>
      <c r="H2706" s="269">
        <f t="shared" si="77"/>
        <v>6009453.4058333337</v>
      </c>
      <c r="I2706" s="269">
        <f t="shared" si="77"/>
        <v>1448619.9523717947</v>
      </c>
      <c r="J2706" s="246">
        <f t="shared" si="77"/>
        <v>0.26314893792792488</v>
      </c>
      <c r="K2706" s="249">
        <f t="shared" ref="K2706:M2706" si="78">AVERAGE(K2694:K2705)</f>
        <v>1934572.3333333333</v>
      </c>
      <c r="L2706" s="249">
        <f t="shared" si="78"/>
        <v>502370.66666666669</v>
      </c>
      <c r="M2706" s="246">
        <f t="shared" si="78"/>
        <v>0.30747812633721444</v>
      </c>
      <c r="Q2706" s="175" t="s">
        <v>44</v>
      </c>
      <c r="R2706" s="240"/>
    </row>
    <row r="2707" spans="1:19" ht="20.25" customHeight="1" x14ac:dyDescent="0.3">
      <c r="A2707" s="262"/>
      <c r="B2707" s="263"/>
      <c r="C2707" s="264"/>
      <c r="D2707" s="265"/>
      <c r="E2707" s="266"/>
      <c r="F2707" s="266"/>
      <c r="G2707" s="246"/>
      <c r="H2707" s="269"/>
      <c r="I2707" s="269"/>
      <c r="J2707" s="246"/>
      <c r="K2707" s="249"/>
      <c r="L2707" s="249"/>
      <c r="M2707" s="246"/>
      <c r="Q2707" s="175" t="s">
        <v>45</v>
      </c>
      <c r="R2707" s="240"/>
    </row>
    <row r="2708" spans="1:19" ht="17.25" customHeight="1" x14ac:dyDescent="0.3">
      <c r="A2708" s="120"/>
      <c r="B2708" s="65"/>
      <c r="C2708" s="66"/>
      <c r="D2708" s="111"/>
      <c r="E2708" s="45"/>
      <c r="F2708" s="45"/>
      <c r="G2708" s="45"/>
      <c r="Q2708" s="175" t="s">
        <v>46</v>
      </c>
      <c r="R2708" s="240"/>
    </row>
    <row r="2709" spans="1:19" ht="20.25" customHeight="1" x14ac:dyDescent="0.3">
      <c r="A2709" s="120"/>
      <c r="B2709" s="65"/>
      <c r="C2709" s="66"/>
      <c r="D2709" s="111"/>
      <c r="E2709" s="45"/>
      <c r="F2709" s="45"/>
      <c r="G2709" s="45"/>
      <c r="Q2709" s="175" t="s">
        <v>235</v>
      </c>
      <c r="R2709" s="240"/>
    </row>
    <row r="2710" spans="1:19" ht="23.25" customHeight="1" x14ac:dyDescent="0.3">
      <c r="A2710" s="251" t="s">
        <v>161</v>
      </c>
      <c r="B2710" s="251"/>
      <c r="C2710" s="251"/>
      <c r="D2710" s="251"/>
      <c r="E2710" s="251"/>
      <c r="F2710" s="251"/>
      <c r="G2710" s="251"/>
      <c r="H2710" s="251"/>
      <c r="I2710" s="251"/>
      <c r="J2710" s="251"/>
      <c r="K2710" s="251"/>
      <c r="Q2710" s="175" t="s">
        <v>47</v>
      </c>
      <c r="R2710" s="240"/>
    </row>
    <row r="2711" spans="1:19" ht="15.6" x14ac:dyDescent="0.3">
      <c r="A2711" s="121" t="s">
        <v>4</v>
      </c>
      <c r="B2711" s="112" t="s">
        <v>147</v>
      </c>
      <c r="C2711" s="112" t="s">
        <v>148</v>
      </c>
      <c r="D2711" s="67" t="s">
        <v>149</v>
      </c>
      <c r="E2711" s="112" t="s">
        <v>150</v>
      </c>
      <c r="F2711" s="112" t="s">
        <v>151</v>
      </c>
      <c r="G2711" s="67" t="s">
        <v>152</v>
      </c>
      <c r="H2711" s="88" t="s">
        <v>153</v>
      </c>
      <c r="I2711" s="59" t="s">
        <v>154</v>
      </c>
      <c r="J2711" s="59" t="s">
        <v>155</v>
      </c>
      <c r="K2711" s="88" t="s">
        <v>252</v>
      </c>
      <c r="L2711" s="59" t="s">
        <v>253</v>
      </c>
      <c r="M2711" s="59" t="s">
        <v>254</v>
      </c>
      <c r="P2711"/>
      <c r="Q2711" s="175" t="s">
        <v>48</v>
      </c>
      <c r="R2711" s="241"/>
      <c r="S2711" s="199"/>
    </row>
    <row r="2712" spans="1:19" ht="15.6" x14ac:dyDescent="0.3">
      <c r="A2712" s="122" t="s">
        <v>66</v>
      </c>
      <c r="B2712" s="60"/>
      <c r="C2712" s="60">
        <v>331300</v>
      </c>
      <c r="D2712" s="138">
        <f t="shared" ref="D2712:D2723" si="79">C2712+B2712</f>
        <v>331300</v>
      </c>
      <c r="E2712" s="60"/>
      <c r="F2712" s="60">
        <v>568180</v>
      </c>
      <c r="G2712" s="138">
        <f>Tabla7[[#This Row],[Boletas 2023]]+Tabla7[[#This Row],[Facturas 2023]]</f>
        <v>568180</v>
      </c>
      <c r="H2712" s="132">
        <v>2810796</v>
      </c>
      <c r="I2712" s="60">
        <v>17200</v>
      </c>
      <c r="J2712" s="140">
        <f>Tabla7[[#This Row],[Boleta 2024]]+Tabla7[[#This Row],[Factura 2024]]</f>
        <v>2827996</v>
      </c>
      <c r="K2712" s="215">
        <v>8872820</v>
      </c>
      <c r="L2712" s="215">
        <v>121000</v>
      </c>
      <c r="M2712" s="215">
        <f>Tabla7[[#This Row],[Boleta 2025]]+Tabla7[[#This Row],[Factura 2025]]</f>
        <v>8993820</v>
      </c>
      <c r="P2712"/>
      <c r="Q2712" s="175" t="s">
        <v>49</v>
      </c>
      <c r="R2712" s="241"/>
      <c r="S2712" s="199"/>
    </row>
    <row r="2713" spans="1:19" ht="15.6" x14ac:dyDescent="0.3">
      <c r="A2713" s="122" t="s">
        <v>67</v>
      </c>
      <c r="B2713" s="60"/>
      <c r="C2713" s="60">
        <v>579600</v>
      </c>
      <c r="D2713" s="138">
        <f t="shared" si="79"/>
        <v>579600</v>
      </c>
      <c r="E2713" s="60">
        <v>60000</v>
      </c>
      <c r="F2713" s="60">
        <v>993600</v>
      </c>
      <c r="G2713" s="138">
        <f>Tabla7[[#This Row],[Boletas 2023]]+Tabla7[[#This Row],[Facturas 2023]]</f>
        <v>1053600</v>
      </c>
      <c r="H2713" s="132">
        <f>315024+119000+892500+274890</f>
        <v>1601414</v>
      </c>
      <c r="I2713" s="60">
        <v>0</v>
      </c>
      <c r="J2713" s="140">
        <f>Tabla7[[#This Row],[Boleta 2024]]+Tabla7[[#This Row],[Factura 2024]]</f>
        <v>1601414</v>
      </c>
      <c r="K2713" s="215">
        <v>2642111</v>
      </c>
      <c r="L2713" s="215">
        <v>0</v>
      </c>
      <c r="M2713" s="215">
        <f>Tabla7[[#This Row],[Boleta 2025]]+Tabla7[[#This Row],[Factura 2025]]</f>
        <v>2642111</v>
      </c>
      <c r="P2713"/>
      <c r="Q2713" s="175" t="s">
        <v>51</v>
      </c>
      <c r="R2713" s="241"/>
      <c r="S2713" s="199"/>
    </row>
    <row r="2714" spans="1:19" ht="15.6" x14ac:dyDescent="0.3">
      <c r="A2714" s="122" t="s">
        <v>68</v>
      </c>
      <c r="B2714" s="60">
        <v>416500</v>
      </c>
      <c r="C2714" s="60">
        <v>302500</v>
      </c>
      <c r="D2714" s="138">
        <f t="shared" si="79"/>
        <v>719000</v>
      </c>
      <c r="E2714" s="60">
        <f>48000*1.19</f>
        <v>57120</v>
      </c>
      <c r="F2714" s="60">
        <v>1598000</v>
      </c>
      <c r="G2714" s="138">
        <f>Tabla7[[#This Row],[Boletas 2023]]+Tabla7[[#This Row],[Facturas 2023]]</f>
        <v>1655120</v>
      </c>
      <c r="H2714" s="132">
        <v>6208344</v>
      </c>
      <c r="I2714" s="60">
        <v>202900</v>
      </c>
      <c r="J2714" s="140">
        <f>Tabla7[[#This Row],[Boleta 2024]]+Tabla7[[#This Row],[Factura 2024]]</f>
        <v>6411244</v>
      </c>
      <c r="K2714" s="215"/>
      <c r="L2714" s="215"/>
      <c r="M2714" s="215">
        <f>Tabla7[[#This Row],[Boleta 2025]]+Tabla7[[#This Row],[Factura 2025]]</f>
        <v>0</v>
      </c>
      <c r="P2714"/>
      <c r="Q2714" s="175" t="s">
        <v>50</v>
      </c>
      <c r="R2714" s="241"/>
      <c r="S2714" s="199"/>
    </row>
    <row r="2715" spans="1:19" ht="15.6" x14ac:dyDescent="0.3">
      <c r="A2715" s="122" t="s">
        <v>69</v>
      </c>
      <c r="B2715" s="60"/>
      <c r="C2715" s="60">
        <v>545000</v>
      </c>
      <c r="D2715" s="138">
        <f t="shared" si="79"/>
        <v>545000</v>
      </c>
      <c r="E2715" s="60">
        <f>428390+100000</f>
        <v>528390</v>
      </c>
      <c r="F2715" s="60">
        <v>1029400</v>
      </c>
      <c r="G2715" s="138">
        <f>Tabla7[[#This Row],[Boletas 2023]]+Tabla7[[#This Row],[Facturas 2023]]</f>
        <v>1557790</v>
      </c>
      <c r="H2715" s="132">
        <v>2625290</v>
      </c>
      <c r="I2715" s="60">
        <v>0</v>
      </c>
      <c r="J2715" s="140">
        <f>Tabla7[[#This Row],[Boleta 2024]]+Tabla7[[#This Row],[Factura 2024]]</f>
        <v>2625290</v>
      </c>
      <c r="K2715" s="215"/>
      <c r="L2715" s="215"/>
      <c r="M2715" s="215">
        <f>Tabla7[[#This Row],[Boleta 2025]]+Tabla7[[#This Row],[Factura 2025]]</f>
        <v>0</v>
      </c>
      <c r="P2715"/>
      <c r="Q2715" s="175" t="s">
        <v>52</v>
      </c>
      <c r="R2715" s="241"/>
      <c r="S2715" s="199"/>
    </row>
    <row r="2716" spans="1:19" ht="15.6" x14ac:dyDescent="0.3">
      <c r="A2716" s="122" t="s">
        <v>70</v>
      </c>
      <c r="B2716" s="60"/>
      <c r="C2716" s="60">
        <v>908700</v>
      </c>
      <c r="D2716" s="138">
        <f t="shared" si="79"/>
        <v>908700</v>
      </c>
      <c r="E2716" s="60">
        <f>116102+266504+119000+77350</f>
        <v>578956</v>
      </c>
      <c r="F2716" s="60">
        <v>1218034</v>
      </c>
      <c r="G2716" s="138">
        <f>Tabla7[[#This Row],[Boletas 2023]]+Tabla7[[#This Row],[Facturas 2023]]</f>
        <v>1796990</v>
      </c>
      <c r="H2716" s="132">
        <f>2087153-546210</f>
        <v>1540943</v>
      </c>
      <c r="I2716" s="60">
        <v>210630</v>
      </c>
      <c r="J2716" s="140">
        <f>Tabla7[[#This Row],[Boleta 2024]]+Tabla7[[#This Row],[Factura 2024]]</f>
        <v>1751573</v>
      </c>
      <c r="K2716" s="215"/>
      <c r="L2716" s="215"/>
      <c r="M2716" s="215">
        <f>Tabla7[[#This Row],[Boleta 2025]]+Tabla7[[#This Row],[Factura 2025]]</f>
        <v>0</v>
      </c>
      <c r="P2716"/>
      <c r="Q2716" s="175" t="s">
        <v>53</v>
      </c>
      <c r="R2716" s="241"/>
      <c r="S2716" s="199"/>
    </row>
    <row r="2717" spans="1:19" ht="15.6" x14ac:dyDescent="0.3">
      <c r="A2717" s="122" t="s">
        <v>71</v>
      </c>
      <c r="B2717" s="60"/>
      <c r="C2717" s="60">
        <v>453000</v>
      </c>
      <c r="D2717" s="138">
        <f t="shared" si="79"/>
        <v>453000</v>
      </c>
      <c r="E2717" s="60">
        <f>154700+657475+188972</f>
        <v>1001147</v>
      </c>
      <c r="F2717" s="60">
        <v>483000</v>
      </c>
      <c r="G2717" s="138">
        <f>Tabla7[[#This Row],[Boletas 2023]]+Tabla7[[#This Row],[Facturas 2023]]</f>
        <v>1484147</v>
      </c>
      <c r="H2717" s="132">
        <f>190400+2500000+500000+216580</f>
        <v>3406980</v>
      </c>
      <c r="I2717" s="60">
        <v>0</v>
      </c>
      <c r="J2717" s="140">
        <f>Tabla7[[#This Row],[Boleta 2024]]+Tabla7[[#This Row],[Factura 2024]]</f>
        <v>3406980</v>
      </c>
      <c r="K2717" s="215"/>
      <c r="L2717" s="215"/>
      <c r="M2717" s="215">
        <f>Tabla7[[#This Row],[Boleta 2025]]+Tabla7[[#This Row],[Factura 2025]]</f>
        <v>0</v>
      </c>
      <c r="P2717"/>
      <c r="Q2717" s="175" t="s">
        <v>54</v>
      </c>
      <c r="R2717" s="241"/>
      <c r="S2717" s="199"/>
    </row>
    <row r="2718" spans="1:19" ht="15.6" x14ac:dyDescent="0.3">
      <c r="A2718" s="122" t="s">
        <v>72</v>
      </c>
      <c r="B2718" s="60"/>
      <c r="C2718" s="60">
        <v>550700</v>
      </c>
      <c r="D2718" s="138">
        <f t="shared" si="79"/>
        <v>550700</v>
      </c>
      <c r="E2718" s="60">
        <f>973800*1.19</f>
        <v>1158822</v>
      </c>
      <c r="F2718" s="60">
        <v>902700</v>
      </c>
      <c r="G2718" s="138">
        <f>Tabla7[[#This Row],[Boletas 2023]]+Tabla7[[#This Row],[Facturas 2023]]</f>
        <v>2061522</v>
      </c>
      <c r="H2718" s="132">
        <v>2420698</v>
      </c>
      <c r="I2718" s="60"/>
      <c r="J2718" s="140">
        <f>Tabla7[[#This Row],[Boleta 2024]]+Tabla7[[#This Row],[Factura 2024]]</f>
        <v>2420698</v>
      </c>
      <c r="K2718" s="215"/>
      <c r="L2718" s="215"/>
      <c r="M2718" s="215">
        <f>Tabla7[[#This Row],[Boleta 2025]]+Tabla7[[#This Row],[Factura 2025]]</f>
        <v>0</v>
      </c>
      <c r="P2718"/>
      <c r="Q2718" s="175" t="s">
        <v>55</v>
      </c>
      <c r="R2718" s="241"/>
      <c r="S2718" s="199"/>
    </row>
    <row r="2719" spans="1:19" ht="15.6" x14ac:dyDescent="0.3">
      <c r="A2719" s="122" t="s">
        <v>73</v>
      </c>
      <c r="B2719" s="60">
        <f>29000+80000+144750</f>
        <v>253750</v>
      </c>
      <c r="C2719" s="60">
        <v>335600</v>
      </c>
      <c r="D2719" s="138">
        <f t="shared" si="79"/>
        <v>589350</v>
      </c>
      <c r="E2719" s="60">
        <f>266180+500000+240000+1625150+154700+119000+119000+142800+142800+142800</f>
        <v>3452430</v>
      </c>
      <c r="F2719" s="60">
        <v>294650</v>
      </c>
      <c r="G2719" s="138">
        <f>Tabla7[[#This Row],[Boletas 2023]]+Tabla7[[#This Row],[Facturas 2023]]</f>
        <v>3747080</v>
      </c>
      <c r="H2719" s="132">
        <v>2438245</v>
      </c>
      <c r="I2719" s="60">
        <v>239500</v>
      </c>
      <c r="J2719" s="140">
        <f>Tabla7[[#This Row],[Boleta 2024]]+Tabla7[[#This Row],[Factura 2024]]</f>
        <v>2677745</v>
      </c>
      <c r="K2719" s="215"/>
      <c r="L2719" s="215"/>
      <c r="M2719" s="215">
        <f>Tabla7[[#This Row],[Boleta 2025]]+Tabla7[[#This Row],[Factura 2025]]</f>
        <v>0</v>
      </c>
      <c r="P2719"/>
      <c r="Q2719" s="175" t="s">
        <v>56</v>
      </c>
      <c r="R2719" s="241"/>
      <c r="S2719" s="199"/>
    </row>
    <row r="2720" spans="1:19" ht="15.6" x14ac:dyDescent="0.3">
      <c r="A2720" s="122" t="s">
        <v>74</v>
      </c>
      <c r="B2720" s="60">
        <v>428400</v>
      </c>
      <c r="C2720" s="60">
        <v>870000</v>
      </c>
      <c r="D2720" s="138">
        <f t="shared" si="79"/>
        <v>1298400</v>
      </c>
      <c r="E2720" s="60">
        <v>2526667</v>
      </c>
      <c r="F2720" s="60">
        <v>72000</v>
      </c>
      <c r="G2720" s="138">
        <f>Tabla7[[#This Row],[Boletas 2023]]+Tabla7[[#This Row],[Facturas 2023]]</f>
        <v>2598667</v>
      </c>
      <c r="H2720" s="132">
        <v>3913171</v>
      </c>
      <c r="I2720" s="60"/>
      <c r="J2720" s="140">
        <f>Tabla7[[#This Row],[Boleta 2024]]+Tabla7[[#This Row],[Factura 2024]]</f>
        <v>3913171</v>
      </c>
      <c r="K2720" s="215"/>
      <c r="L2720" s="215"/>
      <c r="M2720" s="215">
        <f>Tabla7[[#This Row],[Boleta 2025]]+Tabla7[[#This Row],[Factura 2025]]</f>
        <v>0</v>
      </c>
      <c r="P2720"/>
      <c r="Q2720" s="175" t="s">
        <v>57</v>
      </c>
      <c r="R2720" s="241"/>
      <c r="S2720" s="199"/>
    </row>
    <row r="2721" spans="1:19" ht="15.6" x14ac:dyDescent="0.3">
      <c r="A2721" s="122" t="s">
        <v>75</v>
      </c>
      <c r="B2721" s="60">
        <f>120000+476000+306425</f>
        <v>902425</v>
      </c>
      <c r="C2721" s="60">
        <v>585400</v>
      </c>
      <c r="D2721" s="138">
        <f t="shared" si="79"/>
        <v>1487825</v>
      </c>
      <c r="E2721" s="60">
        <v>1196935</v>
      </c>
      <c r="F2721" s="60">
        <v>297000</v>
      </c>
      <c r="G2721" s="138">
        <f>Tabla7[[#This Row],[Boletas 2023]]+Tabla7[[#This Row],[Facturas 2023]]</f>
        <v>1493935</v>
      </c>
      <c r="H2721" s="132">
        <v>1304569</v>
      </c>
      <c r="I2721" s="60">
        <v>200000</v>
      </c>
      <c r="J2721" s="140">
        <f>Tabla7[[#This Row],[Boleta 2024]]+Tabla7[[#This Row],[Factura 2024]]</f>
        <v>1504569</v>
      </c>
      <c r="K2721" s="215"/>
      <c r="L2721" s="215"/>
      <c r="M2721" s="215">
        <f>Tabla7[[#This Row],[Boleta 2025]]+Tabla7[[#This Row],[Factura 2025]]</f>
        <v>0</v>
      </c>
      <c r="P2721"/>
      <c r="Q2721" s="175" t="s">
        <v>58</v>
      </c>
      <c r="R2721" s="241"/>
      <c r="S2721" s="199"/>
    </row>
    <row r="2722" spans="1:19" ht="15.6" x14ac:dyDescent="0.3">
      <c r="A2722" s="122" t="s">
        <v>76</v>
      </c>
      <c r="B2722" s="60">
        <f>184450+68401</f>
        <v>252851</v>
      </c>
      <c r="C2722" s="60">
        <v>1050500</v>
      </c>
      <c r="D2722" s="138">
        <f t="shared" si="79"/>
        <v>1303351</v>
      </c>
      <c r="E2722" s="60">
        <v>2650459</v>
      </c>
      <c r="F2722" s="60"/>
      <c r="G2722" s="138">
        <f>Tabla7[[#This Row],[Boletas 2023]]+Tabla7[[#This Row],[Facturas 2023]]</f>
        <v>2650459</v>
      </c>
      <c r="H2722" s="132">
        <v>4429572</v>
      </c>
      <c r="I2722" s="60"/>
      <c r="J2722" s="140">
        <f>Tabla7[[#This Row],[Boleta 2024]]+Tabla7[[#This Row],[Factura 2024]]</f>
        <v>4429572</v>
      </c>
      <c r="K2722" s="215"/>
      <c r="L2722" s="215"/>
      <c r="M2722" s="215">
        <f>Tabla7[[#This Row],[Boleta 2025]]+Tabla7[[#This Row],[Factura 2025]]</f>
        <v>0</v>
      </c>
      <c r="P2722"/>
      <c r="Q2722" s="175" t="s">
        <v>59</v>
      </c>
      <c r="R2722" s="241"/>
      <c r="S2722" s="199"/>
    </row>
    <row r="2723" spans="1:19" ht="15.6" x14ac:dyDescent="0.3">
      <c r="A2723" s="122" t="s">
        <v>77</v>
      </c>
      <c r="B2723" s="60">
        <f>264500+264500+113000+227290+100000+300000</f>
        <v>1269290</v>
      </c>
      <c r="C2723" s="60">
        <v>725500</v>
      </c>
      <c r="D2723" s="138">
        <f t="shared" si="79"/>
        <v>1994790</v>
      </c>
      <c r="E2723" s="60">
        <v>9610943</v>
      </c>
      <c r="F2723" s="60">
        <v>928676</v>
      </c>
      <c r="G2723" s="138">
        <f>Tabla7[[#This Row],[Boletas 2023]]+Tabla7[[#This Row],[Facturas 2023]]</f>
        <v>10539619</v>
      </c>
      <c r="H2723" s="132">
        <v>4879562</v>
      </c>
      <c r="I2723" s="60">
        <v>500000</v>
      </c>
      <c r="J2723" s="140">
        <f>Tabla7[[#This Row],[Boleta 2024]]+Tabla7[[#This Row],[Factura 2024]]</f>
        <v>5379562</v>
      </c>
      <c r="K2723" s="215"/>
      <c r="L2723" s="215"/>
      <c r="M2723" s="215">
        <f>Tabla7[[#This Row],[Boleta 2025]]+Tabla7[[#This Row],[Factura 2025]]</f>
        <v>0</v>
      </c>
      <c r="P2723"/>
      <c r="Q2723" s="175" t="s">
        <v>60</v>
      </c>
      <c r="R2723" s="241"/>
      <c r="S2723" s="199"/>
    </row>
    <row r="2724" spans="1:19" s="1" customFormat="1" ht="15.6" x14ac:dyDescent="0.3">
      <c r="A2724" s="123" t="s">
        <v>145</v>
      </c>
      <c r="B2724" s="61">
        <f>SUM(B2712:B2723)</f>
        <v>3523216</v>
      </c>
      <c r="C2724" s="61">
        <f>SUM(C2712:C2723)</f>
        <v>7237800</v>
      </c>
      <c r="D2724" s="139">
        <f>C2724+B2724</f>
        <v>10761016</v>
      </c>
      <c r="E2724" s="61">
        <f>SUBTOTAL(109,E2712:E2723)</f>
        <v>22821869</v>
      </c>
      <c r="F2724" s="61">
        <f>SUBTOTAL(109,F2712:F2723)</f>
        <v>8385240</v>
      </c>
      <c r="G2724" s="139">
        <f>Tabla7[[#This Row],[Boletas 2023]]+Tabla7[[#This Row],[Facturas 2023]]</f>
        <v>31207109</v>
      </c>
      <c r="H2724" s="62">
        <f>SUM(H2712:H2723)</f>
        <v>37579584</v>
      </c>
      <c r="I2724" s="62">
        <f>SUM(I2712:I2723)</f>
        <v>1370230</v>
      </c>
      <c r="J2724" s="139">
        <f>Tabla7[[#This Row],[Boleta 2024]]+Tabla7[[#This Row],[Factura 2024]]</f>
        <v>38949814</v>
      </c>
      <c r="K2724" s="216">
        <f>SUM(K2712:K2723)</f>
        <v>11514931</v>
      </c>
      <c r="L2724" s="216">
        <f>SUM(L2712:L2723)</f>
        <v>121000</v>
      </c>
      <c r="M2724" s="216">
        <f>Tabla7[[#This Row],[Boleta 2025]]+Tabla7[[#This Row],[Factura 2025]]</f>
        <v>11635931</v>
      </c>
      <c r="Q2724" s="175" t="s">
        <v>61</v>
      </c>
      <c r="R2724" s="241"/>
    </row>
    <row r="2725" spans="1:19" x14ac:dyDescent="0.3">
      <c r="B2725" s="110"/>
      <c r="Q2725" s="175" t="s">
        <v>62</v>
      </c>
      <c r="R2725" s="241"/>
      <c r="S2725" s="199"/>
    </row>
    <row r="2726" spans="1:19" x14ac:dyDescent="0.3">
      <c r="B2726" s="110"/>
      <c r="Q2726" s="175" t="s">
        <v>63</v>
      </c>
      <c r="R2726" s="241"/>
      <c r="S2726" s="199"/>
    </row>
    <row r="2727" spans="1:19" x14ac:dyDescent="0.3">
      <c r="B2727" s="110"/>
      <c r="Q2727" s="175" t="s">
        <v>64</v>
      </c>
      <c r="R2727" s="241"/>
      <c r="S2727" s="199"/>
    </row>
    <row r="2728" spans="1:19" x14ac:dyDescent="0.3">
      <c r="B2728" s="110"/>
      <c r="Q2728" s="175" t="s">
        <v>65</v>
      </c>
      <c r="R2728" s="241"/>
      <c r="S2728" s="199"/>
    </row>
    <row r="2729" spans="1:19" x14ac:dyDescent="0.3">
      <c r="B2729" s="110"/>
      <c r="Q2729" s="241"/>
      <c r="R2729" s="241"/>
      <c r="S2729" s="199"/>
    </row>
    <row r="2730" spans="1:19" x14ac:dyDescent="0.3">
      <c r="B2730" s="110"/>
      <c r="Q2730" s="241"/>
      <c r="R2730" s="241"/>
      <c r="S2730" s="199"/>
    </row>
    <row r="2731" spans="1:19" x14ac:dyDescent="0.3">
      <c r="B2731" s="110"/>
      <c r="Q2731" s="241"/>
      <c r="R2731" s="241"/>
      <c r="S2731" s="199"/>
    </row>
    <row r="2732" spans="1:19" x14ac:dyDescent="0.3">
      <c r="B2732" s="110"/>
    </row>
    <row r="2733" spans="1:19" x14ac:dyDescent="0.3">
      <c r="B2733" s="110"/>
    </row>
    <row r="2734" spans="1:19" x14ac:dyDescent="0.3">
      <c r="B2734" s="110"/>
    </row>
    <row r="2735" spans="1:19" x14ac:dyDescent="0.3">
      <c r="B2735" s="110"/>
    </row>
    <row r="2736" spans="1:19" x14ac:dyDescent="0.3">
      <c r="B2736" s="110"/>
    </row>
    <row r="2737" spans="2:2" x14ac:dyDescent="0.3">
      <c r="B2737" s="110"/>
    </row>
    <row r="2738" spans="2:2" x14ac:dyDescent="0.3">
      <c r="B2738" s="110"/>
    </row>
    <row r="2739" spans="2:2" x14ac:dyDescent="0.3">
      <c r="B2739" s="110"/>
    </row>
    <row r="2740" spans="2:2" x14ac:dyDescent="0.3">
      <c r="B2740" s="110"/>
    </row>
    <row r="2741" spans="2:2" x14ac:dyDescent="0.3">
      <c r="B2741" s="110"/>
    </row>
    <row r="2742" spans="2:2" x14ac:dyDescent="0.3">
      <c r="B2742" s="110"/>
    </row>
    <row r="2743" spans="2:2" x14ac:dyDescent="0.3">
      <c r="B2743" s="110"/>
    </row>
    <row r="2744" spans="2:2" x14ac:dyDescent="0.3">
      <c r="B2744" s="110"/>
    </row>
    <row r="2745" spans="2:2" x14ac:dyDescent="0.3">
      <c r="B2745" s="110"/>
    </row>
    <row r="2746" spans="2:2" x14ac:dyDescent="0.3">
      <c r="B2746" s="110"/>
    </row>
    <row r="2747" spans="2:2" x14ac:dyDescent="0.3">
      <c r="B2747" s="110"/>
    </row>
  </sheetData>
  <mergeCells count="22">
    <mergeCell ref="Q704:R704"/>
    <mergeCell ref="A2710:K2710"/>
    <mergeCell ref="B2675:F2675"/>
    <mergeCell ref="G2675:J2675"/>
    <mergeCell ref="K2675:N2675"/>
    <mergeCell ref="H1273:H1274"/>
    <mergeCell ref="A2706:A2707"/>
    <mergeCell ref="B2706:B2707"/>
    <mergeCell ref="C2706:C2707"/>
    <mergeCell ref="D2706:D2707"/>
    <mergeCell ref="E2706:E2707"/>
    <mergeCell ref="F2706:F2707"/>
    <mergeCell ref="G2706:G2707"/>
    <mergeCell ref="A2692:M2692"/>
    <mergeCell ref="H2706:H2707"/>
    <mergeCell ref="I2706:I2707"/>
    <mergeCell ref="M2706:M2707"/>
    <mergeCell ref="J2706:J2707"/>
    <mergeCell ref="H664:H667"/>
    <mergeCell ref="H1114:I1114"/>
    <mergeCell ref="K2706:K2707"/>
    <mergeCell ref="L2706:L2707"/>
  </mergeCells>
  <pageMargins left="0.7" right="0.7" top="0.75" bottom="0.75" header="0.3" footer="0.3"/>
  <pageSetup paperSize="9" orientation="portrait" horizontalDpi="1200" verticalDpi="1200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FA925-D17F-4FA5-B9D7-A95D08DDD758}">
  <dimension ref="A1:G61"/>
  <sheetViews>
    <sheetView workbookViewId="0">
      <selection activeCell="B25" sqref="B25"/>
    </sheetView>
  </sheetViews>
  <sheetFormatPr baseColWidth="10" defaultRowHeight="14.4" x14ac:dyDescent="0.3"/>
  <cols>
    <col min="1" max="1" width="8.44140625" style="220" customWidth="1"/>
    <col min="2" max="2" width="72.109375" bestFit="1" customWidth="1"/>
    <col min="3" max="3" width="16" customWidth="1"/>
    <col min="4" max="4" width="16.88671875" bestFit="1" customWidth="1"/>
  </cols>
  <sheetData>
    <row r="1" spans="1:7" s="199" customFormat="1" ht="15" thickBot="1" x14ac:dyDescent="0.35">
      <c r="A1" s="270" t="s">
        <v>255</v>
      </c>
      <c r="B1" s="271"/>
      <c r="C1" s="271"/>
      <c r="D1" s="272"/>
    </row>
    <row r="2" spans="1:7" s="225" customFormat="1" ht="27.75" customHeight="1" thickBot="1" x14ac:dyDescent="0.35">
      <c r="A2" s="222" t="s">
        <v>256</v>
      </c>
      <c r="B2" s="223" t="s">
        <v>257</v>
      </c>
      <c r="C2" s="223" t="s">
        <v>258</v>
      </c>
      <c r="D2" s="224" t="s">
        <v>292</v>
      </c>
      <c r="G2" s="221"/>
    </row>
    <row r="3" spans="1:7" x14ac:dyDescent="0.3">
      <c r="A3" s="226">
        <v>3</v>
      </c>
      <c r="B3" s="227" t="s">
        <v>296</v>
      </c>
      <c r="C3" s="227" t="s">
        <v>293</v>
      </c>
      <c r="D3" s="227" t="s">
        <v>361</v>
      </c>
    </row>
    <row r="4" spans="1:7" x14ac:dyDescent="0.3">
      <c r="A4" s="228">
        <v>1</v>
      </c>
      <c r="B4" s="229" t="s">
        <v>297</v>
      </c>
      <c r="C4" s="229" t="s">
        <v>298</v>
      </c>
      <c r="D4" s="229" t="s">
        <v>362</v>
      </c>
    </row>
    <row r="5" spans="1:7" x14ac:dyDescent="0.3">
      <c r="A5" s="228">
        <v>1</v>
      </c>
      <c r="B5" s="229" t="s">
        <v>299</v>
      </c>
      <c r="C5" s="229" t="s">
        <v>300</v>
      </c>
      <c r="D5" s="229" t="s">
        <v>313</v>
      </c>
    </row>
    <row r="6" spans="1:7" x14ac:dyDescent="0.3">
      <c r="A6" s="228">
        <v>1</v>
      </c>
      <c r="B6" s="229" t="s">
        <v>301</v>
      </c>
      <c r="C6" s="229" t="s">
        <v>302</v>
      </c>
      <c r="D6" s="229"/>
    </row>
    <row r="7" spans="1:7" x14ac:dyDescent="0.3">
      <c r="A7" s="228">
        <v>2</v>
      </c>
      <c r="B7" s="229" t="s">
        <v>259</v>
      </c>
      <c r="C7" s="229" t="s">
        <v>293</v>
      </c>
      <c r="D7" s="229"/>
    </row>
    <row r="8" spans="1:7" x14ac:dyDescent="0.3">
      <c r="A8" s="228">
        <v>1</v>
      </c>
      <c r="B8" s="229" t="s">
        <v>303</v>
      </c>
      <c r="C8" s="229" t="s">
        <v>305</v>
      </c>
      <c r="D8" s="229" t="s">
        <v>304</v>
      </c>
    </row>
    <row r="9" spans="1:7" x14ac:dyDescent="0.3">
      <c r="A9" s="228">
        <v>1</v>
      </c>
      <c r="B9" s="229" t="s">
        <v>306</v>
      </c>
      <c r="C9" s="229" t="s">
        <v>294</v>
      </c>
      <c r="D9" s="229" t="s">
        <v>309</v>
      </c>
    </row>
    <row r="10" spans="1:7" x14ac:dyDescent="0.3">
      <c r="A10" s="228">
        <v>1</v>
      </c>
      <c r="B10" s="229" t="s">
        <v>307</v>
      </c>
      <c r="C10" s="229" t="s">
        <v>308</v>
      </c>
      <c r="D10" s="230" t="s">
        <v>310</v>
      </c>
    </row>
    <row r="11" spans="1:7" x14ac:dyDescent="0.3">
      <c r="A11" s="228">
        <v>1</v>
      </c>
      <c r="B11" s="229" t="s">
        <v>311</v>
      </c>
      <c r="C11" s="229" t="s">
        <v>294</v>
      </c>
      <c r="D11" s="229" t="s">
        <v>312</v>
      </c>
    </row>
    <row r="12" spans="1:7" x14ac:dyDescent="0.3">
      <c r="A12" s="228">
        <v>1</v>
      </c>
      <c r="B12" s="229" t="s">
        <v>314</v>
      </c>
      <c r="C12" s="229" t="s">
        <v>315</v>
      </c>
      <c r="D12" s="229"/>
    </row>
    <row r="13" spans="1:7" x14ac:dyDescent="0.3">
      <c r="A13" s="228">
        <v>1</v>
      </c>
      <c r="B13" s="229" t="s">
        <v>316</v>
      </c>
      <c r="C13" s="229" t="s">
        <v>317</v>
      </c>
      <c r="D13" s="229"/>
    </row>
    <row r="14" spans="1:7" x14ac:dyDescent="0.3">
      <c r="A14" s="228">
        <v>2</v>
      </c>
      <c r="B14" s="229" t="s">
        <v>318</v>
      </c>
      <c r="C14" s="229" t="s">
        <v>319</v>
      </c>
      <c r="D14" s="229"/>
    </row>
    <row r="15" spans="1:7" x14ac:dyDescent="0.3">
      <c r="A15" s="228">
        <v>1</v>
      </c>
      <c r="B15" s="229" t="s">
        <v>320</v>
      </c>
      <c r="C15" s="229" t="s">
        <v>321</v>
      </c>
      <c r="D15" s="229" t="s">
        <v>322</v>
      </c>
    </row>
    <row r="16" spans="1:7" x14ac:dyDescent="0.3">
      <c r="A16" s="228">
        <v>1</v>
      </c>
      <c r="B16" s="229" t="s">
        <v>260</v>
      </c>
      <c r="C16" s="229" t="s">
        <v>323</v>
      </c>
      <c r="D16" s="229" t="s">
        <v>324</v>
      </c>
    </row>
    <row r="17" spans="1:4" x14ac:dyDescent="0.3">
      <c r="A17" s="228">
        <v>1</v>
      </c>
      <c r="B17" s="229" t="s">
        <v>378</v>
      </c>
      <c r="C17" s="229" t="s">
        <v>331</v>
      </c>
      <c r="D17" s="229"/>
    </row>
    <row r="18" spans="1:4" x14ac:dyDescent="0.3">
      <c r="A18" s="228">
        <v>2</v>
      </c>
      <c r="B18" s="229" t="s">
        <v>325</v>
      </c>
      <c r="C18" s="229" t="s">
        <v>326</v>
      </c>
      <c r="D18" s="229" t="s">
        <v>327</v>
      </c>
    </row>
    <row r="19" spans="1:4" x14ac:dyDescent="0.3">
      <c r="A19" s="228">
        <v>1</v>
      </c>
      <c r="B19" s="229" t="s">
        <v>328</v>
      </c>
      <c r="C19" s="229" t="s">
        <v>329</v>
      </c>
      <c r="D19" s="229" t="s">
        <v>295</v>
      </c>
    </row>
    <row r="20" spans="1:4" x14ac:dyDescent="0.3">
      <c r="A20" s="228">
        <v>2</v>
      </c>
      <c r="B20" s="229" t="s">
        <v>261</v>
      </c>
      <c r="C20" s="229" t="s">
        <v>317</v>
      </c>
      <c r="D20" s="229" t="s">
        <v>330</v>
      </c>
    </row>
    <row r="21" spans="1:4" x14ac:dyDescent="0.3">
      <c r="A21" s="228">
        <v>1</v>
      </c>
      <c r="B21" s="229" t="s">
        <v>262</v>
      </c>
      <c r="C21" s="229" t="s">
        <v>317</v>
      </c>
      <c r="D21" s="229"/>
    </row>
    <row r="22" spans="1:4" x14ac:dyDescent="0.3">
      <c r="A22" s="228">
        <v>1</v>
      </c>
      <c r="B22" s="229" t="s">
        <v>263</v>
      </c>
      <c r="C22" s="229" t="s">
        <v>331</v>
      </c>
      <c r="D22" s="229"/>
    </row>
    <row r="23" spans="1:4" x14ac:dyDescent="0.3">
      <c r="A23" s="228">
        <v>1</v>
      </c>
      <c r="B23" s="229" t="s">
        <v>264</v>
      </c>
      <c r="C23" s="229" t="s">
        <v>331</v>
      </c>
      <c r="D23" s="229"/>
    </row>
    <row r="24" spans="1:4" x14ac:dyDescent="0.3">
      <c r="A24" s="228">
        <v>1</v>
      </c>
      <c r="B24" s="229" t="s">
        <v>265</v>
      </c>
      <c r="C24" s="229" t="s">
        <v>331</v>
      </c>
      <c r="D24" s="229"/>
    </row>
    <row r="25" spans="1:4" x14ac:dyDescent="0.3">
      <c r="A25" s="228">
        <v>1</v>
      </c>
      <c r="B25" s="229" t="s">
        <v>266</v>
      </c>
      <c r="C25" s="229" t="s">
        <v>331</v>
      </c>
      <c r="D25" s="229"/>
    </row>
    <row r="26" spans="1:4" x14ac:dyDescent="0.3">
      <c r="A26" s="228">
        <v>1</v>
      </c>
      <c r="B26" s="229" t="s">
        <v>332</v>
      </c>
      <c r="C26" s="229" t="s">
        <v>333</v>
      </c>
      <c r="D26" s="229" t="s">
        <v>334</v>
      </c>
    </row>
    <row r="27" spans="1:4" x14ac:dyDescent="0.3">
      <c r="A27" s="228">
        <v>2</v>
      </c>
      <c r="B27" s="229" t="s">
        <v>267</v>
      </c>
      <c r="C27" s="229" t="s">
        <v>335</v>
      </c>
      <c r="D27" s="229"/>
    </row>
    <row r="28" spans="1:4" x14ac:dyDescent="0.3">
      <c r="A28" s="228">
        <v>1</v>
      </c>
      <c r="B28" s="229" t="s">
        <v>268</v>
      </c>
      <c r="C28" s="229" t="s">
        <v>317</v>
      </c>
      <c r="D28" s="229"/>
    </row>
    <row r="29" spans="1:4" x14ac:dyDescent="0.3">
      <c r="A29" s="228">
        <v>1</v>
      </c>
      <c r="B29" s="229" t="s">
        <v>338</v>
      </c>
      <c r="C29" s="229" t="s">
        <v>336</v>
      </c>
      <c r="D29" s="231" t="s">
        <v>337</v>
      </c>
    </row>
    <row r="30" spans="1:4" x14ac:dyDescent="0.3">
      <c r="A30" s="228">
        <v>300</v>
      </c>
      <c r="B30" s="229" t="s">
        <v>269</v>
      </c>
      <c r="C30" s="229" t="s">
        <v>331</v>
      </c>
      <c r="D30" s="229"/>
    </row>
    <row r="31" spans="1:4" x14ac:dyDescent="0.3">
      <c r="A31" s="228">
        <v>100</v>
      </c>
      <c r="B31" s="229" t="s">
        <v>270</v>
      </c>
      <c r="C31" s="229" t="s">
        <v>331</v>
      </c>
      <c r="D31" s="229"/>
    </row>
    <row r="32" spans="1:4" x14ac:dyDescent="0.3">
      <c r="A32" s="228">
        <v>100</v>
      </c>
      <c r="B32" s="229" t="s">
        <v>271</v>
      </c>
      <c r="C32" s="229" t="s">
        <v>331</v>
      </c>
      <c r="D32" s="229"/>
    </row>
    <row r="33" spans="1:4" x14ac:dyDescent="0.3">
      <c r="A33" s="228">
        <v>100</v>
      </c>
      <c r="B33" s="229" t="s">
        <v>272</v>
      </c>
      <c r="C33" s="229" t="s">
        <v>340</v>
      </c>
      <c r="D33" s="229"/>
    </row>
    <row r="34" spans="1:4" x14ac:dyDescent="0.3">
      <c r="A34" s="228">
        <v>100</v>
      </c>
      <c r="B34" s="229" t="s">
        <v>273</v>
      </c>
      <c r="C34" s="229" t="s">
        <v>340</v>
      </c>
      <c r="D34" s="229"/>
    </row>
    <row r="35" spans="1:4" x14ac:dyDescent="0.3">
      <c r="A35" s="228">
        <v>200</v>
      </c>
      <c r="B35" s="229" t="s">
        <v>274</v>
      </c>
      <c r="C35" s="229" t="s">
        <v>342</v>
      </c>
      <c r="D35" s="229"/>
    </row>
    <row r="36" spans="1:4" x14ac:dyDescent="0.3">
      <c r="A36" s="228">
        <v>100</v>
      </c>
      <c r="B36" s="229" t="s">
        <v>275</v>
      </c>
      <c r="C36" s="229" t="s">
        <v>341</v>
      </c>
      <c r="D36" s="229"/>
    </row>
    <row r="37" spans="1:4" x14ac:dyDescent="0.3">
      <c r="A37" s="228">
        <v>100</v>
      </c>
      <c r="B37" s="229" t="s">
        <v>276</v>
      </c>
      <c r="C37" s="229" t="s">
        <v>341</v>
      </c>
      <c r="D37" s="229"/>
    </row>
    <row r="38" spans="1:4" x14ac:dyDescent="0.3">
      <c r="A38" s="228">
        <v>100</v>
      </c>
      <c r="B38" s="229" t="s">
        <v>277</v>
      </c>
      <c r="C38" s="229" t="s">
        <v>331</v>
      </c>
      <c r="D38" s="229"/>
    </row>
    <row r="39" spans="1:4" x14ac:dyDescent="0.3">
      <c r="A39" s="228">
        <v>50</v>
      </c>
      <c r="B39" s="229" t="s">
        <v>278</v>
      </c>
      <c r="C39" s="229" t="s">
        <v>331</v>
      </c>
      <c r="D39" s="229"/>
    </row>
    <row r="40" spans="1:4" x14ac:dyDescent="0.3">
      <c r="A40" s="228">
        <v>50</v>
      </c>
      <c r="B40" s="229" t="s">
        <v>279</v>
      </c>
      <c r="C40" s="229" t="s">
        <v>331</v>
      </c>
      <c r="D40" s="229"/>
    </row>
    <row r="41" spans="1:4" x14ac:dyDescent="0.3">
      <c r="A41" s="228">
        <v>7</v>
      </c>
      <c r="B41" s="229" t="s">
        <v>280</v>
      </c>
      <c r="C41" s="229" t="s">
        <v>331</v>
      </c>
      <c r="D41" s="229"/>
    </row>
    <row r="42" spans="1:4" x14ac:dyDescent="0.3">
      <c r="A42" s="228">
        <v>1</v>
      </c>
      <c r="B42" s="229" t="s">
        <v>281</v>
      </c>
      <c r="C42" s="229" t="s">
        <v>331</v>
      </c>
      <c r="D42" s="229"/>
    </row>
    <row r="43" spans="1:4" x14ac:dyDescent="0.3">
      <c r="A43" s="228">
        <v>1</v>
      </c>
      <c r="B43" s="229" t="s">
        <v>347</v>
      </c>
      <c r="C43" s="229" t="s">
        <v>343</v>
      </c>
      <c r="D43" s="229" t="s">
        <v>345</v>
      </c>
    </row>
    <row r="44" spans="1:4" x14ac:dyDescent="0.3">
      <c r="A44" s="228">
        <v>1</v>
      </c>
      <c r="B44" s="229" t="s">
        <v>348</v>
      </c>
      <c r="C44" s="229" t="s">
        <v>344</v>
      </c>
      <c r="D44" s="229" t="s">
        <v>346</v>
      </c>
    </row>
    <row r="45" spans="1:4" x14ac:dyDescent="0.3">
      <c r="A45" s="228">
        <v>1</v>
      </c>
      <c r="B45" s="229" t="s">
        <v>349</v>
      </c>
      <c r="C45" s="229" t="s">
        <v>350</v>
      </c>
      <c r="D45" s="229" t="s">
        <v>363</v>
      </c>
    </row>
    <row r="46" spans="1:4" x14ac:dyDescent="0.3">
      <c r="A46" s="228">
        <v>1</v>
      </c>
      <c r="B46" s="229" t="s">
        <v>351</v>
      </c>
      <c r="C46" s="229" t="s">
        <v>302</v>
      </c>
      <c r="D46" s="229" t="s">
        <v>352</v>
      </c>
    </row>
    <row r="47" spans="1:4" x14ac:dyDescent="0.3">
      <c r="A47" s="228">
        <v>1</v>
      </c>
      <c r="B47" s="229" t="s">
        <v>282</v>
      </c>
      <c r="C47" s="229" t="s">
        <v>331</v>
      </c>
      <c r="D47" s="229"/>
    </row>
    <row r="48" spans="1:4" x14ac:dyDescent="0.3">
      <c r="A48" s="228">
        <v>1</v>
      </c>
      <c r="B48" s="229" t="s">
        <v>283</v>
      </c>
      <c r="C48" s="229" t="s">
        <v>331</v>
      </c>
      <c r="D48" s="229"/>
    </row>
    <row r="49" spans="1:4" x14ac:dyDescent="0.3">
      <c r="A49" s="228">
        <v>1</v>
      </c>
      <c r="B49" s="229" t="s">
        <v>284</v>
      </c>
      <c r="C49" s="229" t="s">
        <v>331</v>
      </c>
      <c r="D49" s="229"/>
    </row>
    <row r="50" spans="1:4" x14ac:dyDescent="0.3">
      <c r="A50" s="228">
        <v>1</v>
      </c>
      <c r="B50" s="229" t="s">
        <v>285</v>
      </c>
      <c r="C50" s="229" t="s">
        <v>331</v>
      </c>
      <c r="D50" s="229"/>
    </row>
    <row r="51" spans="1:4" x14ac:dyDescent="0.3">
      <c r="A51" s="228">
        <v>1</v>
      </c>
      <c r="B51" s="229" t="s">
        <v>286</v>
      </c>
      <c r="C51" s="229" t="s">
        <v>331</v>
      </c>
      <c r="D51" s="229"/>
    </row>
    <row r="52" spans="1:4" x14ac:dyDescent="0.3">
      <c r="A52" s="228">
        <v>1</v>
      </c>
      <c r="B52" s="229" t="s">
        <v>287</v>
      </c>
      <c r="C52" s="229" t="s">
        <v>331</v>
      </c>
      <c r="D52" s="229"/>
    </row>
    <row r="53" spans="1:4" x14ac:dyDescent="0.3">
      <c r="A53" s="228">
        <v>1</v>
      </c>
      <c r="B53" s="229" t="s">
        <v>288</v>
      </c>
      <c r="C53" s="229" t="s">
        <v>331</v>
      </c>
      <c r="D53" s="229"/>
    </row>
    <row r="54" spans="1:4" x14ac:dyDescent="0.3">
      <c r="A54" s="228">
        <v>6</v>
      </c>
      <c r="B54" s="229" t="s">
        <v>289</v>
      </c>
      <c r="C54" s="229" t="s">
        <v>331</v>
      </c>
      <c r="D54" s="229"/>
    </row>
    <row r="55" spans="1:4" x14ac:dyDescent="0.3">
      <c r="A55" s="228">
        <v>7</v>
      </c>
      <c r="B55" s="229" t="s">
        <v>353</v>
      </c>
      <c r="C55" s="229" t="s">
        <v>339</v>
      </c>
      <c r="D55" s="229"/>
    </row>
    <row r="56" spans="1:4" x14ac:dyDescent="0.3">
      <c r="A56" s="228">
        <v>1</v>
      </c>
      <c r="B56" s="229" t="s">
        <v>290</v>
      </c>
      <c r="C56" s="229" t="s">
        <v>354</v>
      </c>
      <c r="D56" s="229"/>
    </row>
    <row r="57" spans="1:4" x14ac:dyDescent="0.3">
      <c r="A57" s="228">
        <v>2</v>
      </c>
      <c r="B57" s="229" t="s">
        <v>355</v>
      </c>
      <c r="C57" s="229" t="s">
        <v>356</v>
      </c>
      <c r="D57" s="229"/>
    </row>
    <row r="58" spans="1:4" x14ac:dyDescent="0.3">
      <c r="A58" s="228">
        <v>2</v>
      </c>
      <c r="B58" s="229" t="s">
        <v>357</v>
      </c>
      <c r="C58" s="229" t="s">
        <v>356</v>
      </c>
      <c r="D58" s="229"/>
    </row>
    <row r="59" spans="1:4" x14ac:dyDescent="0.3">
      <c r="A59" s="228">
        <v>8</v>
      </c>
      <c r="B59" s="229" t="s">
        <v>291</v>
      </c>
      <c r="C59" s="229" t="s">
        <v>331</v>
      </c>
      <c r="D59" s="229"/>
    </row>
    <row r="60" spans="1:4" x14ac:dyDescent="0.3">
      <c r="A60" s="228">
        <v>2</v>
      </c>
      <c r="B60" s="229" t="s">
        <v>379</v>
      </c>
      <c r="C60" s="229" t="s">
        <v>380</v>
      </c>
      <c r="D60" s="229"/>
    </row>
    <row r="61" spans="1:4" ht="15" thickBot="1" x14ac:dyDescent="0.35">
      <c r="A61" s="232">
        <v>1</v>
      </c>
      <c r="B61" s="233" t="s">
        <v>358</v>
      </c>
      <c r="C61" s="233" t="s">
        <v>359</v>
      </c>
      <c r="D61" s="233" t="s">
        <v>360</v>
      </c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D03B-59DD-4BF3-988C-D897CB89C929}">
  <dimension ref="A3:B18"/>
  <sheetViews>
    <sheetView workbookViewId="0">
      <selection activeCell="E5" sqref="E5"/>
    </sheetView>
  </sheetViews>
  <sheetFormatPr baseColWidth="10" defaultRowHeight="14.4" x14ac:dyDescent="0.3"/>
  <cols>
    <col min="1" max="1" width="12" customWidth="1"/>
    <col min="2" max="2" width="12.88671875" customWidth="1"/>
  </cols>
  <sheetData>
    <row r="3" spans="1:2" x14ac:dyDescent="0.3">
      <c r="A3" t="s">
        <v>376</v>
      </c>
      <c r="B3" s="234" t="s">
        <v>377</v>
      </c>
    </row>
    <row r="4" spans="1:2" x14ac:dyDescent="0.3">
      <c r="A4" t="s">
        <v>364</v>
      </c>
      <c r="B4" s="234">
        <v>470000</v>
      </c>
    </row>
    <row r="5" spans="1:2" x14ac:dyDescent="0.3">
      <c r="A5" t="s">
        <v>365</v>
      </c>
      <c r="B5" s="234">
        <v>35000</v>
      </c>
    </row>
    <row r="6" spans="1:2" x14ac:dyDescent="0.3">
      <c r="A6" t="s">
        <v>240</v>
      </c>
      <c r="B6" s="234">
        <v>35000</v>
      </c>
    </row>
    <row r="7" spans="1:2" x14ac:dyDescent="0.3">
      <c r="A7" t="s">
        <v>366</v>
      </c>
      <c r="B7" s="234">
        <v>55000</v>
      </c>
    </row>
    <row r="8" spans="1:2" x14ac:dyDescent="0.3">
      <c r="A8" t="s">
        <v>367</v>
      </c>
      <c r="B8" s="234">
        <v>40000</v>
      </c>
    </row>
    <row r="9" spans="1:2" x14ac:dyDescent="0.3">
      <c r="A9" t="s">
        <v>368</v>
      </c>
      <c r="B9" s="234">
        <v>175000</v>
      </c>
    </row>
    <row r="10" spans="1:2" x14ac:dyDescent="0.3">
      <c r="A10" t="s">
        <v>370</v>
      </c>
      <c r="B10" s="234">
        <v>160000</v>
      </c>
    </row>
    <row r="11" spans="1:2" x14ac:dyDescent="0.3">
      <c r="A11" t="s">
        <v>369</v>
      </c>
      <c r="B11" s="234">
        <v>140000</v>
      </c>
    </row>
    <row r="12" spans="1:2" x14ac:dyDescent="0.3">
      <c r="A12" t="s">
        <v>371</v>
      </c>
      <c r="B12" s="234">
        <v>500000</v>
      </c>
    </row>
    <row r="13" spans="1:2" x14ac:dyDescent="0.3">
      <c r="A13" t="s">
        <v>372</v>
      </c>
      <c r="B13" s="234">
        <v>60000</v>
      </c>
    </row>
    <row r="14" spans="1:2" x14ac:dyDescent="0.3">
      <c r="A14" t="s">
        <v>373</v>
      </c>
      <c r="B14" s="234">
        <v>50000</v>
      </c>
    </row>
    <row r="15" spans="1:2" x14ac:dyDescent="0.3">
      <c r="A15" t="s">
        <v>374</v>
      </c>
      <c r="B15" s="234">
        <v>50000</v>
      </c>
    </row>
    <row r="16" spans="1:2" x14ac:dyDescent="0.3">
      <c r="A16" t="s">
        <v>375</v>
      </c>
      <c r="B16" s="234">
        <v>35000</v>
      </c>
    </row>
    <row r="17" spans="1:2" x14ac:dyDescent="0.3">
      <c r="B17" s="234"/>
    </row>
    <row r="18" spans="1:2" x14ac:dyDescent="0.3">
      <c r="A18" t="s">
        <v>0</v>
      </c>
      <c r="B18" s="234">
        <f>SUM(B4:B16)</f>
        <v>1805000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Ventas</vt:lpstr>
      <vt:lpstr>Historial Ventas</vt:lpstr>
      <vt:lpstr>Activos</vt:lpstr>
      <vt:lpstr>Gastos Familia</vt:lpstr>
    </vt:vector>
  </TitlesOfParts>
  <Company>Kuoni Travel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Antunez</dc:creator>
  <cp:lastModifiedBy>maris</cp:lastModifiedBy>
  <cp:lastPrinted>2024-08-07T04:27:30Z</cp:lastPrinted>
  <dcterms:created xsi:type="dcterms:W3CDTF">2018-03-19T14:29:52Z</dcterms:created>
  <dcterms:modified xsi:type="dcterms:W3CDTF">2026-02-10T23:32:52Z</dcterms:modified>
</cp:coreProperties>
</file>